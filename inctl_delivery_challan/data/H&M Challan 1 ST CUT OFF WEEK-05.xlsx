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H&amp;M CHALLAN\"/>
    </mc:Choice>
  </mc:AlternateContent>
  <xr:revisionPtr revIDLastSave="0" documentId="13_ncr:1_{0EDF8AEC-29B8-496F-95DB-3D43C01A78DC}" xr6:coauthVersionLast="41" xr6:coauthVersionMax="47" xr10:uidLastSave="{00000000-0000-0000-0000-000000000000}"/>
  <bookViews>
    <workbookView xWindow="-120" yWindow="-120" windowWidth="20730" windowHeight="11160" tabRatio="929" firstSheet="11" activeTab="13" xr2:uid="{00000000-000D-0000-FFFF-FFFF00000000}"/>
  </bookViews>
  <sheets>
    <sheet name="EBIL" sheetId="7" r:id="rId1"/>
    <sheet name="New Challan Formet 7th (2)" sheetId="8" r:id="rId2"/>
    <sheet name="hellmann" sheetId="9" r:id="rId3"/>
    <sheet name="NIPPON" sheetId="10" r:id="rId4"/>
    <sheet name="SAPL" sheetId="11" r:id="rId5"/>
    <sheet name="New Challan Formet 7th (6)" sheetId="12" r:id="rId6"/>
    <sheet name="OCL" sheetId="13" r:id="rId7"/>
    <sheet name="OCL1" sheetId="14" r:id="rId8"/>
    <sheet name="VERTEX" sheetId="15" r:id="rId9"/>
    <sheet name="New Challan Formet 7th (10)" sheetId="16" r:id="rId10"/>
    <sheet name="SAPL1" sheetId="17" r:id="rId11"/>
    <sheet name="New Challan Formet 7th (12)" sheetId="18" r:id="rId12"/>
    <sheet name="VERTEX1" sheetId="19" r:id="rId13"/>
    <sheet name="SAPL2" sheetId="21" r:id="rId14"/>
    <sheet name="EBIL1" sheetId="22" r:id="rId15"/>
    <sheet name="OCL2" sheetId="23" r:id="rId16"/>
  </sheets>
  <definedNames>
    <definedName name="Buyer" localSheetId="0">EBIL!$W$7:$W$20</definedName>
    <definedName name="Buyer" localSheetId="14">EBIL1!$W$7:$W$20</definedName>
    <definedName name="Buyer" localSheetId="2">hellmann!$W$7:$W$20</definedName>
    <definedName name="Buyer" localSheetId="9">'New Challan Formet 7th (10)'!$W$7:$W$20</definedName>
    <definedName name="Buyer" localSheetId="11">'New Challan Formet 7th (12)'!$W$7:$W$20</definedName>
    <definedName name="Buyer" localSheetId="1">'New Challan Formet 7th (2)'!$W$7:$W$20</definedName>
    <definedName name="Buyer" localSheetId="5">'New Challan Formet 7th (6)'!$W$7:$W$20</definedName>
    <definedName name="Buyer" localSheetId="3">NIPPON!$W$7:$W$20</definedName>
    <definedName name="Buyer" localSheetId="6">OCL!$W$7:$W$20</definedName>
    <definedName name="Buyer" localSheetId="7">'OCL1'!$W$7:$W$20</definedName>
    <definedName name="Buyer" localSheetId="15">'OCL2'!$W$7:$W$20</definedName>
    <definedName name="Buyer" localSheetId="4">SAPL!$W$7:$W$20</definedName>
    <definedName name="Buyer" localSheetId="10">SAPL1!$W$7:$W$20</definedName>
    <definedName name="Buyer" localSheetId="13">SAPL2!$W$7:$W$20</definedName>
    <definedName name="Buyer" localSheetId="8">VERTEX!$W$7:$W$20</definedName>
    <definedName name="Buyer" localSheetId="12">VERTEX1!$W$7:$W$20</definedName>
    <definedName name="Buyer">#REF!</definedName>
    <definedName name="Buyer2" localSheetId="0">EBIL!$X$7:$X$20</definedName>
    <definedName name="Buyer2" localSheetId="14">EBIL1!$X$7:$X$20</definedName>
    <definedName name="Buyer2" localSheetId="2">hellmann!$X$7:$X$20</definedName>
    <definedName name="Buyer2" localSheetId="9">'New Challan Formet 7th (10)'!$X$7:$X$20</definedName>
    <definedName name="Buyer2" localSheetId="11">'New Challan Formet 7th (12)'!$X$7:$X$20</definedName>
    <definedName name="Buyer2" localSheetId="1">'New Challan Formet 7th (2)'!$X$7:$X$20</definedName>
    <definedName name="Buyer2" localSheetId="5">'New Challan Formet 7th (6)'!$X$7:$X$20</definedName>
    <definedName name="Buyer2" localSheetId="3">NIPPON!$X$7:$X$20</definedName>
    <definedName name="Buyer2" localSheetId="6">OCL!$X$7:$X$20</definedName>
    <definedName name="Buyer2" localSheetId="7">'OCL1'!$X$7:$X$20</definedName>
    <definedName name="Buyer2" localSheetId="15">'OCL2'!$X$7:$X$20</definedName>
    <definedName name="Buyer2" localSheetId="4">SAPL!$X$7:$X$20</definedName>
    <definedName name="Buyer2" localSheetId="10">SAPL1!$X$7:$X$20</definedName>
    <definedName name="Buyer2" localSheetId="13">SAPL2!$X$7:$X$20</definedName>
    <definedName name="Buyer2" localSheetId="8">VERTEX!$X$7:$X$20</definedName>
    <definedName name="Buyer2" localSheetId="12">VERTEX1!$X$7:$X$20</definedName>
    <definedName name="Buyer2">#REF!</definedName>
    <definedName name="Buyer3" localSheetId="0">EBIL!$Y$7:$Y$20</definedName>
    <definedName name="Buyer3" localSheetId="14">EBIL1!$Y$7:$Y$20</definedName>
    <definedName name="Buyer3" localSheetId="2">hellmann!$Y$7:$Y$20</definedName>
    <definedName name="Buyer3" localSheetId="9">'New Challan Formet 7th (10)'!$Y$7:$Y$20</definedName>
    <definedName name="Buyer3" localSheetId="11">'New Challan Formet 7th (12)'!$Y$7:$Y$20</definedName>
    <definedName name="Buyer3" localSheetId="1">'New Challan Formet 7th (2)'!$Y$7:$Y$20</definedName>
    <definedName name="Buyer3" localSheetId="5">'New Challan Formet 7th (6)'!$Y$7:$Y$20</definedName>
    <definedName name="Buyer3" localSheetId="3">NIPPON!$Y$7:$Y$20</definedName>
    <definedName name="Buyer3" localSheetId="6">OCL!$Y$7:$Y$20</definedName>
    <definedName name="Buyer3" localSheetId="7">'OCL1'!$Y$7:$Y$20</definedName>
    <definedName name="Buyer3" localSheetId="15">'OCL2'!$Y$7:$Y$20</definedName>
    <definedName name="Buyer3" localSheetId="4">SAPL!$Y$7:$Y$20</definedName>
    <definedName name="Buyer3" localSheetId="10">SAPL1!$Y$7:$Y$20</definedName>
    <definedName name="Buyer3" localSheetId="13">SAPL2!$Y$7:$Y$20</definedName>
    <definedName name="Buyer3" localSheetId="8">VERTEX!$Y$7:$Y$20</definedName>
    <definedName name="Buyer3" localSheetId="12">VERTEX1!$Y$7:$Y$20</definedName>
    <definedName name="Buyer3">#REF!</definedName>
    <definedName name="Carrier" localSheetId="0">EBIL!$V$7:$V$21</definedName>
    <definedName name="Carrier" localSheetId="14">EBIL1!$V$7:$V$21</definedName>
    <definedName name="Carrier" localSheetId="2">hellmann!$V$7:$V$21</definedName>
    <definedName name="Carrier" localSheetId="9">'New Challan Formet 7th (10)'!$V$7:$V$21</definedName>
    <definedName name="Carrier" localSheetId="11">'New Challan Formet 7th (12)'!$V$7:$V$21</definedName>
    <definedName name="Carrier" localSheetId="1">'New Challan Formet 7th (2)'!$V$7:$V$21</definedName>
    <definedName name="Carrier" localSheetId="5">'New Challan Formet 7th (6)'!$V$7:$V$21</definedName>
    <definedName name="Carrier" localSheetId="3">NIPPON!$V$7:$V$21</definedName>
    <definedName name="Carrier" localSheetId="6">OCL!$V$7:$V$21</definedName>
    <definedName name="Carrier" localSheetId="7">'OCL1'!$V$7:$V$21</definedName>
    <definedName name="Carrier" localSheetId="15">'OCL2'!$V$7:$V$21</definedName>
    <definedName name="Carrier" localSheetId="4">SAPL!$V$7:$V$21</definedName>
    <definedName name="Carrier" localSheetId="10">SAPL1!$V$7:$V$21</definedName>
    <definedName name="Carrier" localSheetId="13">SAPL2!$V$7:$V$21</definedName>
    <definedName name="Carrier" localSheetId="8">VERTEX!$V$7:$V$21</definedName>
    <definedName name="Carrier" localSheetId="12">VERTEX1!$V$7:$V$21</definedName>
    <definedName name="Carrier">#REF!</definedName>
    <definedName name="Esak" localSheetId="0">EBIL!$S$7</definedName>
    <definedName name="Esak" localSheetId="14">EBIL1!$S$7</definedName>
    <definedName name="Esak" localSheetId="2">hellmann!$S$7</definedName>
    <definedName name="Esak" localSheetId="9">'New Challan Formet 7th (10)'!$S$7</definedName>
    <definedName name="Esak" localSheetId="11">'New Challan Formet 7th (12)'!$S$7</definedName>
    <definedName name="Esak" localSheetId="1">'New Challan Formet 7th (2)'!$S$7</definedName>
    <definedName name="Esak" localSheetId="5">'New Challan Formet 7th (6)'!$S$7</definedName>
    <definedName name="Esak" localSheetId="3">NIPPON!$S$7</definedName>
    <definedName name="Esak" localSheetId="6">OCL!$S$7</definedName>
    <definedName name="Esak" localSheetId="7">'OCL1'!$S$7</definedName>
    <definedName name="Esak" localSheetId="15">'OCL2'!$S$7</definedName>
    <definedName name="Esak" localSheetId="4">SAPL!$S$7</definedName>
    <definedName name="Esak" localSheetId="10">SAPL1!$S$7</definedName>
    <definedName name="Esak" localSheetId="13">SAPL2!$S$7</definedName>
    <definedName name="Esak" localSheetId="8">VERTEX!$S$7</definedName>
    <definedName name="Esak" localSheetId="12">VERTEX1!$S$7</definedName>
    <definedName name="Esak">#REF!</definedName>
    <definedName name="Mode" localSheetId="0">EBIL!$U$7:$U$12</definedName>
    <definedName name="Mode" localSheetId="14">EBIL1!$U$7:$U$12</definedName>
    <definedName name="Mode" localSheetId="2">hellmann!$U$7:$U$12</definedName>
    <definedName name="Mode" localSheetId="9">'New Challan Formet 7th (10)'!$U$7:$U$12</definedName>
    <definedName name="Mode" localSheetId="11">'New Challan Formet 7th (12)'!$U$7:$U$12</definedName>
    <definedName name="Mode" localSheetId="1">'New Challan Formet 7th (2)'!$U$7:$U$12</definedName>
    <definedName name="Mode" localSheetId="5">'New Challan Formet 7th (6)'!$U$7:$U$12</definedName>
    <definedName name="Mode" localSheetId="3">NIPPON!$U$7:$U$12</definedName>
    <definedName name="Mode" localSheetId="6">OCL!$U$7:$U$12</definedName>
    <definedName name="Mode" localSheetId="7">'OCL1'!$U$7:$U$12</definedName>
    <definedName name="Mode" localSheetId="15">'OCL2'!$U$7:$U$12</definedName>
    <definedName name="Mode" localSheetId="4">SAPL!$U$7:$U$12</definedName>
    <definedName name="Mode" localSheetId="10">SAPL1!$U$7:$U$12</definedName>
    <definedName name="Mode" localSheetId="13">SAPL2!$U$7:$U$12</definedName>
    <definedName name="Mode" localSheetId="8">VERTEX!$U$7:$U$12</definedName>
    <definedName name="Mode" localSheetId="12">VERTEX1!$U$7:$U$12</definedName>
    <definedName name="Mode">#REF!</definedName>
    <definedName name="_xlnm.Print_Area" localSheetId="0">EBIL!$A$1:$P$168</definedName>
    <definedName name="_xlnm.Print_Area" localSheetId="14">EBIL1!$A$1:$P$168</definedName>
    <definedName name="_xlnm.Print_Area" localSheetId="2">hellmann!$A$1:$P$168</definedName>
    <definedName name="_xlnm.Print_Area" localSheetId="9">'New Challan Formet 7th (10)'!$A$1:$P$168</definedName>
    <definedName name="_xlnm.Print_Area" localSheetId="11">'New Challan Formet 7th (12)'!$A$1:$P$168</definedName>
    <definedName name="_xlnm.Print_Area" localSheetId="1">'New Challan Formet 7th (2)'!$A$1:$P$168</definedName>
    <definedName name="_xlnm.Print_Area" localSheetId="5">'New Challan Formet 7th (6)'!$A$1:$P$168</definedName>
    <definedName name="_xlnm.Print_Area" localSheetId="3">NIPPON!$A$1:$P$168</definedName>
    <definedName name="_xlnm.Print_Area" localSheetId="6">OCL!$A$1:$P$168</definedName>
    <definedName name="_xlnm.Print_Area" localSheetId="7">'OCL1'!$A$1:$P$168</definedName>
    <definedName name="_xlnm.Print_Area" localSheetId="15">'OCL2'!$A$1:$P$168</definedName>
    <definedName name="_xlnm.Print_Area" localSheetId="4">SAPL!$A$1:$P$168</definedName>
    <definedName name="_xlnm.Print_Area" localSheetId="10">SAPL1!$A$1:$P$168</definedName>
    <definedName name="_xlnm.Print_Area" localSheetId="13">SAPL2!$A$1:$P$168</definedName>
    <definedName name="_xlnm.Print_Area" localSheetId="8">VERTEX!$A$1:$P$168</definedName>
    <definedName name="_xlnm.Print_Area" localSheetId="12">VERTEX1!$A$1:$P$168</definedName>
    <definedName name="To" localSheetId="0">EBIL!$T$7:$T$33</definedName>
    <definedName name="To" localSheetId="14">EBIL1!$T$7:$T$33</definedName>
    <definedName name="To" localSheetId="2">hellmann!$T$7:$T$33</definedName>
    <definedName name="To" localSheetId="9">'New Challan Formet 7th (10)'!$T$7:$T$33</definedName>
    <definedName name="To" localSheetId="11">'New Challan Formet 7th (12)'!$T$7:$T$33</definedName>
    <definedName name="To" localSheetId="1">'New Challan Formet 7th (2)'!$T$7:$T$33</definedName>
    <definedName name="To" localSheetId="5">'New Challan Formet 7th (6)'!$T$7:$T$33</definedName>
    <definedName name="To" localSheetId="3">NIPPON!$T$7:$T$33</definedName>
    <definedName name="To" localSheetId="6">OCL!$T$7:$T$33</definedName>
    <definedName name="To" localSheetId="7">'OCL1'!$T$7:$T$33</definedName>
    <definedName name="To" localSheetId="15">'OCL2'!$T$7:$T$33</definedName>
    <definedName name="To" localSheetId="4">SAPL!$T$7:$T$33</definedName>
    <definedName name="To" localSheetId="10">SAPL1!$T$7:$T$33</definedName>
    <definedName name="To" localSheetId="13">SAPL2!$T$7:$T$33</definedName>
    <definedName name="To" localSheetId="8">VERTEX!$T$7:$T$33</definedName>
    <definedName name="To" localSheetId="12">VERTEX1!$T$7:$T$33</definedName>
    <definedName name="T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8" i="23" l="1"/>
  <c r="M118" i="23" s="1"/>
  <c r="M158" i="23" s="1"/>
  <c r="D78" i="23"/>
  <c r="D118" i="23" s="1"/>
  <c r="D158" i="23" s="1"/>
  <c r="M77" i="23"/>
  <c r="M117" i="23" s="1"/>
  <c r="M157" i="23" s="1"/>
  <c r="D77" i="23"/>
  <c r="D117" i="23" s="1"/>
  <c r="D157" i="23" s="1"/>
  <c r="P74" i="23"/>
  <c r="P114" i="23" s="1"/>
  <c r="P154" i="23" s="1"/>
  <c r="M74" i="23"/>
  <c r="M114" i="23" s="1"/>
  <c r="M154" i="23" s="1"/>
  <c r="K74" i="23"/>
  <c r="K114" i="23" s="1"/>
  <c r="K154" i="23" s="1"/>
  <c r="H74" i="23"/>
  <c r="H114" i="23" s="1"/>
  <c r="H154" i="23" s="1"/>
  <c r="B74" i="23"/>
  <c r="B114" i="23" s="1"/>
  <c r="B154" i="23" s="1"/>
  <c r="A74" i="23"/>
  <c r="A114" i="23" s="1"/>
  <c r="A154" i="23" s="1"/>
  <c r="P73" i="23"/>
  <c r="P113" i="23" s="1"/>
  <c r="P153" i="23" s="1"/>
  <c r="M73" i="23"/>
  <c r="M113" i="23" s="1"/>
  <c r="M153" i="23" s="1"/>
  <c r="K73" i="23"/>
  <c r="K113" i="23" s="1"/>
  <c r="K153" i="23" s="1"/>
  <c r="H73" i="23"/>
  <c r="H113" i="23" s="1"/>
  <c r="H153" i="23" s="1"/>
  <c r="B73" i="23"/>
  <c r="B113" i="23" s="1"/>
  <c r="B153" i="23" s="1"/>
  <c r="A73" i="23"/>
  <c r="A113" i="23" s="1"/>
  <c r="A153" i="23" s="1"/>
  <c r="P72" i="23"/>
  <c r="P112" i="23" s="1"/>
  <c r="P152" i="23" s="1"/>
  <c r="M72" i="23"/>
  <c r="M112" i="23" s="1"/>
  <c r="M152" i="23" s="1"/>
  <c r="K72" i="23"/>
  <c r="K112" i="23" s="1"/>
  <c r="K152" i="23" s="1"/>
  <c r="H72" i="23"/>
  <c r="H112" i="23" s="1"/>
  <c r="H152" i="23" s="1"/>
  <c r="B72" i="23"/>
  <c r="B112" i="23" s="1"/>
  <c r="B152" i="23" s="1"/>
  <c r="A72" i="23"/>
  <c r="A112" i="23" s="1"/>
  <c r="A152" i="23" s="1"/>
  <c r="P71" i="23"/>
  <c r="P111" i="23" s="1"/>
  <c r="P151" i="23" s="1"/>
  <c r="M71" i="23"/>
  <c r="M111" i="23" s="1"/>
  <c r="M151" i="23" s="1"/>
  <c r="K71" i="23"/>
  <c r="K111" i="23" s="1"/>
  <c r="K151" i="23" s="1"/>
  <c r="H71" i="23"/>
  <c r="H111" i="23" s="1"/>
  <c r="H151" i="23" s="1"/>
  <c r="B71" i="23"/>
  <c r="B111" i="23" s="1"/>
  <c r="B151" i="23" s="1"/>
  <c r="A71" i="23"/>
  <c r="A111" i="23" s="1"/>
  <c r="A151" i="23" s="1"/>
  <c r="P70" i="23"/>
  <c r="P110" i="23" s="1"/>
  <c r="P150" i="23" s="1"/>
  <c r="M70" i="23"/>
  <c r="M110" i="23" s="1"/>
  <c r="M150" i="23" s="1"/>
  <c r="K70" i="23"/>
  <c r="K110" i="23" s="1"/>
  <c r="K150" i="23" s="1"/>
  <c r="H70" i="23"/>
  <c r="H110" i="23" s="1"/>
  <c r="H150" i="23" s="1"/>
  <c r="B70" i="23"/>
  <c r="B110" i="23" s="1"/>
  <c r="B150" i="23" s="1"/>
  <c r="A70" i="23"/>
  <c r="A110" i="23" s="1"/>
  <c r="A150" i="23" s="1"/>
  <c r="P69" i="23"/>
  <c r="P109" i="23" s="1"/>
  <c r="P149" i="23" s="1"/>
  <c r="M69" i="23"/>
  <c r="M109" i="23" s="1"/>
  <c r="M149" i="23" s="1"/>
  <c r="K69" i="23"/>
  <c r="K109" i="23" s="1"/>
  <c r="K149" i="23" s="1"/>
  <c r="H69" i="23"/>
  <c r="H109" i="23" s="1"/>
  <c r="H149" i="23" s="1"/>
  <c r="B69" i="23"/>
  <c r="B109" i="23" s="1"/>
  <c r="B149" i="23" s="1"/>
  <c r="A69" i="23"/>
  <c r="A109" i="23" s="1"/>
  <c r="A149" i="23" s="1"/>
  <c r="P68" i="23"/>
  <c r="P108" i="23" s="1"/>
  <c r="P148" i="23" s="1"/>
  <c r="M68" i="23"/>
  <c r="M108" i="23" s="1"/>
  <c r="M148" i="23" s="1"/>
  <c r="K68" i="23"/>
  <c r="K108" i="23" s="1"/>
  <c r="K148" i="23" s="1"/>
  <c r="H68" i="23"/>
  <c r="H108" i="23" s="1"/>
  <c r="H148" i="23" s="1"/>
  <c r="B68" i="23"/>
  <c r="B108" i="23" s="1"/>
  <c r="B148" i="23" s="1"/>
  <c r="A68" i="23"/>
  <c r="A108" i="23" s="1"/>
  <c r="A148" i="23" s="1"/>
  <c r="P67" i="23"/>
  <c r="P107" i="23" s="1"/>
  <c r="P147" i="23" s="1"/>
  <c r="M67" i="23"/>
  <c r="M107" i="23" s="1"/>
  <c r="M147" i="23" s="1"/>
  <c r="K67" i="23"/>
  <c r="K107" i="23" s="1"/>
  <c r="K147" i="23" s="1"/>
  <c r="H67" i="23"/>
  <c r="H107" i="23" s="1"/>
  <c r="H147" i="23" s="1"/>
  <c r="B67" i="23"/>
  <c r="B107" i="23" s="1"/>
  <c r="B147" i="23" s="1"/>
  <c r="A67" i="23"/>
  <c r="A107" i="23" s="1"/>
  <c r="A147" i="23" s="1"/>
  <c r="P66" i="23"/>
  <c r="P106" i="23" s="1"/>
  <c r="P146" i="23" s="1"/>
  <c r="M66" i="23"/>
  <c r="M106" i="23" s="1"/>
  <c r="M146" i="23" s="1"/>
  <c r="K66" i="23"/>
  <c r="K106" i="23" s="1"/>
  <c r="K146" i="23" s="1"/>
  <c r="H66" i="23"/>
  <c r="H106" i="23" s="1"/>
  <c r="H146" i="23" s="1"/>
  <c r="B66" i="23"/>
  <c r="B106" i="23" s="1"/>
  <c r="B146" i="23" s="1"/>
  <c r="A66" i="23"/>
  <c r="A106" i="23" s="1"/>
  <c r="A146" i="23" s="1"/>
  <c r="P65" i="23"/>
  <c r="P105" i="23" s="1"/>
  <c r="P145" i="23" s="1"/>
  <c r="M65" i="23"/>
  <c r="M105" i="23" s="1"/>
  <c r="M145" i="23" s="1"/>
  <c r="K65" i="23"/>
  <c r="K105" i="23" s="1"/>
  <c r="K145" i="23" s="1"/>
  <c r="H65" i="23"/>
  <c r="H105" i="23" s="1"/>
  <c r="H145" i="23" s="1"/>
  <c r="B65" i="23"/>
  <c r="B105" i="23" s="1"/>
  <c r="B145" i="23" s="1"/>
  <c r="A65" i="23"/>
  <c r="A105" i="23" s="1"/>
  <c r="A145" i="23" s="1"/>
  <c r="P64" i="23"/>
  <c r="P104" i="23" s="1"/>
  <c r="P144" i="23" s="1"/>
  <c r="M64" i="23"/>
  <c r="M104" i="23" s="1"/>
  <c r="M144" i="23" s="1"/>
  <c r="K64" i="23"/>
  <c r="K104" i="23" s="1"/>
  <c r="K144" i="23" s="1"/>
  <c r="H64" i="23"/>
  <c r="H104" i="23" s="1"/>
  <c r="H144" i="23" s="1"/>
  <c r="B64" i="23"/>
  <c r="B104" i="23" s="1"/>
  <c r="B144" i="23" s="1"/>
  <c r="A64" i="23"/>
  <c r="A104" i="23" s="1"/>
  <c r="A144" i="23" s="1"/>
  <c r="P63" i="23"/>
  <c r="P103" i="23" s="1"/>
  <c r="P143" i="23" s="1"/>
  <c r="M63" i="23"/>
  <c r="M103" i="23" s="1"/>
  <c r="M143" i="23" s="1"/>
  <c r="K63" i="23"/>
  <c r="K103" i="23" s="1"/>
  <c r="K143" i="23" s="1"/>
  <c r="H63" i="23"/>
  <c r="H103" i="23" s="1"/>
  <c r="H143" i="23" s="1"/>
  <c r="B63" i="23"/>
  <c r="B103" i="23" s="1"/>
  <c r="B143" i="23" s="1"/>
  <c r="A63" i="23"/>
  <c r="A103" i="23" s="1"/>
  <c r="A143" i="23" s="1"/>
  <c r="P62" i="23"/>
  <c r="P102" i="23" s="1"/>
  <c r="P142" i="23" s="1"/>
  <c r="M62" i="23"/>
  <c r="M102" i="23" s="1"/>
  <c r="M142" i="23" s="1"/>
  <c r="K62" i="23"/>
  <c r="K102" i="23" s="1"/>
  <c r="K142" i="23" s="1"/>
  <c r="H62" i="23"/>
  <c r="H102" i="23" s="1"/>
  <c r="H142" i="23" s="1"/>
  <c r="B62" i="23"/>
  <c r="B102" i="23" s="1"/>
  <c r="B142" i="23" s="1"/>
  <c r="A62" i="23"/>
  <c r="A102" i="23" s="1"/>
  <c r="A142" i="23" s="1"/>
  <c r="P61" i="23"/>
  <c r="P101" i="23" s="1"/>
  <c r="P141" i="23" s="1"/>
  <c r="M61" i="23"/>
  <c r="M101" i="23" s="1"/>
  <c r="M141" i="23" s="1"/>
  <c r="K61" i="23"/>
  <c r="K101" i="23" s="1"/>
  <c r="K141" i="23" s="1"/>
  <c r="H61" i="23"/>
  <c r="H101" i="23" s="1"/>
  <c r="H141" i="23" s="1"/>
  <c r="B61" i="23"/>
  <c r="B101" i="23" s="1"/>
  <c r="B141" i="23" s="1"/>
  <c r="A61" i="23"/>
  <c r="A101" i="23" s="1"/>
  <c r="A141" i="23" s="1"/>
  <c r="P60" i="23"/>
  <c r="P100" i="23" s="1"/>
  <c r="P140" i="23" s="1"/>
  <c r="M60" i="23"/>
  <c r="M100" i="23" s="1"/>
  <c r="M140" i="23" s="1"/>
  <c r="K60" i="23"/>
  <c r="K100" i="23" s="1"/>
  <c r="K140" i="23" s="1"/>
  <c r="H60" i="23"/>
  <c r="H100" i="23" s="1"/>
  <c r="H140" i="23" s="1"/>
  <c r="B60" i="23"/>
  <c r="B100" i="23" s="1"/>
  <c r="B140" i="23" s="1"/>
  <c r="A60" i="23"/>
  <c r="A100" i="23" s="1"/>
  <c r="A140" i="23" s="1"/>
  <c r="P59" i="23"/>
  <c r="P99" i="23" s="1"/>
  <c r="P139" i="23" s="1"/>
  <c r="M59" i="23"/>
  <c r="M99" i="23" s="1"/>
  <c r="M139" i="23" s="1"/>
  <c r="K59" i="23"/>
  <c r="K99" i="23" s="1"/>
  <c r="K139" i="23" s="1"/>
  <c r="H59" i="23"/>
  <c r="H99" i="23" s="1"/>
  <c r="H139" i="23" s="1"/>
  <c r="B59" i="23"/>
  <c r="B99" i="23" s="1"/>
  <c r="B139" i="23" s="1"/>
  <c r="A59" i="23"/>
  <c r="A99" i="23" s="1"/>
  <c r="A139" i="23" s="1"/>
  <c r="P58" i="23"/>
  <c r="P98" i="23" s="1"/>
  <c r="P138" i="23" s="1"/>
  <c r="M58" i="23"/>
  <c r="M98" i="23" s="1"/>
  <c r="M138" i="23" s="1"/>
  <c r="K58" i="23"/>
  <c r="K98" i="23" s="1"/>
  <c r="K138" i="23" s="1"/>
  <c r="H58" i="23"/>
  <c r="H98" i="23" s="1"/>
  <c r="H138" i="23" s="1"/>
  <c r="B58" i="23"/>
  <c r="B98" i="23" s="1"/>
  <c r="B138" i="23" s="1"/>
  <c r="A58" i="23"/>
  <c r="A98" i="23" s="1"/>
  <c r="A138" i="23" s="1"/>
  <c r="P57" i="23"/>
  <c r="P97" i="23" s="1"/>
  <c r="P137" i="23" s="1"/>
  <c r="M57" i="23"/>
  <c r="M97" i="23" s="1"/>
  <c r="M137" i="23" s="1"/>
  <c r="K57" i="23"/>
  <c r="K97" i="23" s="1"/>
  <c r="K137" i="23" s="1"/>
  <c r="H57" i="23"/>
  <c r="H97" i="23" s="1"/>
  <c r="H137" i="23" s="1"/>
  <c r="B57" i="23"/>
  <c r="B97" i="23" s="1"/>
  <c r="B137" i="23" s="1"/>
  <c r="A57" i="23"/>
  <c r="A97" i="23" s="1"/>
  <c r="A137" i="23" s="1"/>
  <c r="P56" i="23"/>
  <c r="P96" i="23" s="1"/>
  <c r="P136" i="23" s="1"/>
  <c r="M56" i="23"/>
  <c r="M96" i="23" s="1"/>
  <c r="M136" i="23" s="1"/>
  <c r="K56" i="23"/>
  <c r="K96" i="23" s="1"/>
  <c r="K136" i="23" s="1"/>
  <c r="H56" i="23"/>
  <c r="H96" i="23" s="1"/>
  <c r="H136" i="23" s="1"/>
  <c r="B56" i="23"/>
  <c r="B96" i="23" s="1"/>
  <c r="B136" i="23" s="1"/>
  <c r="A56" i="23"/>
  <c r="A96" i="23" s="1"/>
  <c r="A136" i="23" s="1"/>
  <c r="P55" i="23"/>
  <c r="P95" i="23" s="1"/>
  <c r="P135" i="23" s="1"/>
  <c r="M55" i="23"/>
  <c r="M95" i="23" s="1"/>
  <c r="M135" i="23" s="1"/>
  <c r="K55" i="23"/>
  <c r="K95" i="23" s="1"/>
  <c r="H55" i="23"/>
  <c r="H95" i="23" s="1"/>
  <c r="B55" i="23"/>
  <c r="B95" i="23" s="1"/>
  <c r="B135" i="23" s="1"/>
  <c r="A55" i="23"/>
  <c r="A95" i="23" s="1"/>
  <c r="A135" i="23" s="1"/>
  <c r="C54" i="23"/>
  <c r="C94" i="23" s="1"/>
  <c r="C134" i="23" s="1"/>
  <c r="C53" i="23"/>
  <c r="C93" i="23" s="1"/>
  <c r="C133" i="23" s="1"/>
  <c r="B53" i="23"/>
  <c r="B93" i="23" s="1"/>
  <c r="B133" i="23" s="1"/>
  <c r="L49" i="23"/>
  <c r="L89" i="23" s="1"/>
  <c r="L129" i="23" s="1"/>
  <c r="L48" i="23"/>
  <c r="L88" i="23" s="1"/>
  <c r="L128" i="23" s="1"/>
  <c r="A48" i="23"/>
  <c r="A88" i="23" s="1"/>
  <c r="A128" i="23" s="1"/>
  <c r="L47" i="23"/>
  <c r="L87" i="23" s="1"/>
  <c r="L127" i="23" s="1"/>
  <c r="L46" i="23"/>
  <c r="L86" i="23" s="1"/>
  <c r="L126" i="23" s="1"/>
  <c r="C46" i="23"/>
  <c r="C86" i="23" s="1"/>
  <c r="C126" i="23" s="1"/>
  <c r="M42" i="23"/>
  <c r="M82" i="23" s="1"/>
  <c r="M122" i="23" s="1"/>
  <c r="K35" i="23"/>
  <c r="H35" i="23"/>
  <c r="H115" i="23" l="1"/>
  <c r="H135" i="23"/>
  <c r="H155" i="23" s="1"/>
  <c r="K115" i="23"/>
  <c r="K135" i="23"/>
  <c r="K155" i="23" s="1"/>
  <c r="H75" i="23"/>
  <c r="K75" i="23"/>
  <c r="M78" i="22"/>
  <c r="M118" i="22" s="1"/>
  <c r="M158" i="22" s="1"/>
  <c r="D78" i="22"/>
  <c r="D118" i="22" s="1"/>
  <c r="D158" i="22" s="1"/>
  <c r="M77" i="22"/>
  <c r="M117" i="22" s="1"/>
  <c r="M157" i="22" s="1"/>
  <c r="D77" i="22"/>
  <c r="D117" i="22" s="1"/>
  <c r="D157" i="22" s="1"/>
  <c r="P74" i="22"/>
  <c r="P114" i="22" s="1"/>
  <c r="P154" i="22" s="1"/>
  <c r="M74" i="22"/>
  <c r="M114" i="22" s="1"/>
  <c r="M154" i="22" s="1"/>
  <c r="K74" i="22"/>
  <c r="K114" i="22" s="1"/>
  <c r="K154" i="22" s="1"/>
  <c r="H74" i="22"/>
  <c r="H114" i="22" s="1"/>
  <c r="H154" i="22" s="1"/>
  <c r="B74" i="22"/>
  <c r="B114" i="22" s="1"/>
  <c r="B154" i="22" s="1"/>
  <c r="A74" i="22"/>
  <c r="A114" i="22" s="1"/>
  <c r="A154" i="22" s="1"/>
  <c r="P73" i="22"/>
  <c r="P113" i="22" s="1"/>
  <c r="P153" i="22" s="1"/>
  <c r="M73" i="22"/>
  <c r="M113" i="22" s="1"/>
  <c r="M153" i="22" s="1"/>
  <c r="K73" i="22"/>
  <c r="K113" i="22" s="1"/>
  <c r="K153" i="22" s="1"/>
  <c r="H73" i="22"/>
  <c r="H113" i="22" s="1"/>
  <c r="H153" i="22" s="1"/>
  <c r="B73" i="22"/>
  <c r="B113" i="22" s="1"/>
  <c r="B153" i="22" s="1"/>
  <c r="A73" i="22"/>
  <c r="A113" i="22" s="1"/>
  <c r="A153" i="22" s="1"/>
  <c r="P72" i="22"/>
  <c r="P112" i="22" s="1"/>
  <c r="P152" i="22" s="1"/>
  <c r="M72" i="22"/>
  <c r="M112" i="22" s="1"/>
  <c r="M152" i="22" s="1"/>
  <c r="K72" i="22"/>
  <c r="K112" i="22" s="1"/>
  <c r="K152" i="22" s="1"/>
  <c r="H72" i="22"/>
  <c r="H112" i="22" s="1"/>
  <c r="H152" i="22" s="1"/>
  <c r="B72" i="22"/>
  <c r="B112" i="22" s="1"/>
  <c r="B152" i="22" s="1"/>
  <c r="A72" i="22"/>
  <c r="A112" i="22" s="1"/>
  <c r="A152" i="22" s="1"/>
  <c r="P71" i="22"/>
  <c r="P111" i="22" s="1"/>
  <c r="P151" i="22" s="1"/>
  <c r="M71" i="22"/>
  <c r="M111" i="22" s="1"/>
  <c r="M151" i="22" s="1"/>
  <c r="K71" i="22"/>
  <c r="K111" i="22" s="1"/>
  <c r="K151" i="22" s="1"/>
  <c r="H71" i="22"/>
  <c r="H111" i="22" s="1"/>
  <c r="H151" i="22" s="1"/>
  <c r="B71" i="22"/>
  <c r="B111" i="22" s="1"/>
  <c r="B151" i="22" s="1"/>
  <c r="A71" i="22"/>
  <c r="A111" i="22" s="1"/>
  <c r="A151" i="22" s="1"/>
  <c r="P70" i="22"/>
  <c r="P110" i="22" s="1"/>
  <c r="P150" i="22" s="1"/>
  <c r="M70" i="22"/>
  <c r="M110" i="22" s="1"/>
  <c r="M150" i="22" s="1"/>
  <c r="K70" i="22"/>
  <c r="K110" i="22" s="1"/>
  <c r="K150" i="22" s="1"/>
  <c r="H70" i="22"/>
  <c r="H110" i="22" s="1"/>
  <c r="H150" i="22" s="1"/>
  <c r="B70" i="22"/>
  <c r="B110" i="22" s="1"/>
  <c r="B150" i="22" s="1"/>
  <c r="A70" i="22"/>
  <c r="A110" i="22" s="1"/>
  <c r="A150" i="22" s="1"/>
  <c r="P69" i="22"/>
  <c r="P109" i="22" s="1"/>
  <c r="P149" i="22" s="1"/>
  <c r="M69" i="22"/>
  <c r="M109" i="22" s="1"/>
  <c r="M149" i="22" s="1"/>
  <c r="K69" i="22"/>
  <c r="K109" i="22" s="1"/>
  <c r="K149" i="22" s="1"/>
  <c r="H69" i="22"/>
  <c r="H109" i="22" s="1"/>
  <c r="H149" i="22" s="1"/>
  <c r="B69" i="22"/>
  <c r="B109" i="22" s="1"/>
  <c r="B149" i="22" s="1"/>
  <c r="A69" i="22"/>
  <c r="A109" i="22" s="1"/>
  <c r="A149" i="22" s="1"/>
  <c r="P68" i="22"/>
  <c r="P108" i="22" s="1"/>
  <c r="P148" i="22" s="1"/>
  <c r="M68" i="22"/>
  <c r="M108" i="22" s="1"/>
  <c r="M148" i="22" s="1"/>
  <c r="K68" i="22"/>
  <c r="K108" i="22" s="1"/>
  <c r="K148" i="22" s="1"/>
  <c r="H68" i="22"/>
  <c r="H108" i="22" s="1"/>
  <c r="H148" i="22" s="1"/>
  <c r="B68" i="22"/>
  <c r="B108" i="22" s="1"/>
  <c r="B148" i="22" s="1"/>
  <c r="A68" i="22"/>
  <c r="A108" i="22" s="1"/>
  <c r="A148" i="22" s="1"/>
  <c r="P67" i="22"/>
  <c r="P107" i="22" s="1"/>
  <c r="P147" i="22" s="1"/>
  <c r="M67" i="22"/>
  <c r="M107" i="22" s="1"/>
  <c r="M147" i="22" s="1"/>
  <c r="K67" i="22"/>
  <c r="K107" i="22" s="1"/>
  <c r="K147" i="22" s="1"/>
  <c r="H67" i="22"/>
  <c r="H107" i="22" s="1"/>
  <c r="H147" i="22" s="1"/>
  <c r="B67" i="22"/>
  <c r="B107" i="22" s="1"/>
  <c r="B147" i="22" s="1"/>
  <c r="A67" i="22"/>
  <c r="A107" i="22" s="1"/>
  <c r="A147" i="22" s="1"/>
  <c r="P66" i="22"/>
  <c r="P106" i="22" s="1"/>
  <c r="P146" i="22" s="1"/>
  <c r="M66" i="22"/>
  <c r="M106" i="22" s="1"/>
  <c r="M146" i="22" s="1"/>
  <c r="K66" i="22"/>
  <c r="K106" i="22" s="1"/>
  <c r="K146" i="22" s="1"/>
  <c r="H66" i="22"/>
  <c r="H106" i="22" s="1"/>
  <c r="H146" i="22" s="1"/>
  <c r="B66" i="22"/>
  <c r="B106" i="22" s="1"/>
  <c r="B146" i="22" s="1"/>
  <c r="A66" i="22"/>
  <c r="A106" i="22" s="1"/>
  <c r="A146" i="22" s="1"/>
  <c r="P65" i="22"/>
  <c r="P105" i="22" s="1"/>
  <c r="P145" i="22" s="1"/>
  <c r="M65" i="22"/>
  <c r="M105" i="22" s="1"/>
  <c r="M145" i="22" s="1"/>
  <c r="K65" i="22"/>
  <c r="K105" i="22" s="1"/>
  <c r="K145" i="22" s="1"/>
  <c r="H65" i="22"/>
  <c r="H105" i="22" s="1"/>
  <c r="H145" i="22" s="1"/>
  <c r="B65" i="22"/>
  <c r="B105" i="22" s="1"/>
  <c r="B145" i="22" s="1"/>
  <c r="A65" i="22"/>
  <c r="A105" i="22" s="1"/>
  <c r="A145" i="22" s="1"/>
  <c r="P64" i="22"/>
  <c r="P104" i="22" s="1"/>
  <c r="P144" i="22" s="1"/>
  <c r="M64" i="22"/>
  <c r="M104" i="22" s="1"/>
  <c r="M144" i="22" s="1"/>
  <c r="K64" i="22"/>
  <c r="K104" i="22" s="1"/>
  <c r="K144" i="22" s="1"/>
  <c r="H64" i="22"/>
  <c r="H104" i="22" s="1"/>
  <c r="H144" i="22" s="1"/>
  <c r="B64" i="22"/>
  <c r="B104" i="22" s="1"/>
  <c r="B144" i="22" s="1"/>
  <c r="A64" i="22"/>
  <c r="A104" i="22" s="1"/>
  <c r="A144" i="22" s="1"/>
  <c r="P63" i="22"/>
  <c r="P103" i="22" s="1"/>
  <c r="P143" i="22" s="1"/>
  <c r="M63" i="22"/>
  <c r="M103" i="22" s="1"/>
  <c r="M143" i="22" s="1"/>
  <c r="K63" i="22"/>
  <c r="K103" i="22" s="1"/>
  <c r="K143" i="22" s="1"/>
  <c r="H63" i="22"/>
  <c r="H103" i="22" s="1"/>
  <c r="H143" i="22" s="1"/>
  <c r="B63" i="22"/>
  <c r="B103" i="22" s="1"/>
  <c r="B143" i="22" s="1"/>
  <c r="A63" i="22"/>
  <c r="A103" i="22" s="1"/>
  <c r="A143" i="22" s="1"/>
  <c r="P62" i="22"/>
  <c r="P102" i="22" s="1"/>
  <c r="P142" i="22" s="1"/>
  <c r="M62" i="22"/>
  <c r="M102" i="22" s="1"/>
  <c r="M142" i="22" s="1"/>
  <c r="K62" i="22"/>
  <c r="K102" i="22" s="1"/>
  <c r="K142" i="22" s="1"/>
  <c r="H62" i="22"/>
  <c r="H102" i="22" s="1"/>
  <c r="H142" i="22" s="1"/>
  <c r="B62" i="22"/>
  <c r="B102" i="22" s="1"/>
  <c r="B142" i="22" s="1"/>
  <c r="A62" i="22"/>
  <c r="A102" i="22" s="1"/>
  <c r="A142" i="22" s="1"/>
  <c r="P61" i="22"/>
  <c r="P101" i="22" s="1"/>
  <c r="P141" i="22" s="1"/>
  <c r="M61" i="22"/>
  <c r="M101" i="22" s="1"/>
  <c r="M141" i="22" s="1"/>
  <c r="K61" i="22"/>
  <c r="K101" i="22" s="1"/>
  <c r="K141" i="22" s="1"/>
  <c r="H61" i="22"/>
  <c r="H101" i="22" s="1"/>
  <c r="H141" i="22" s="1"/>
  <c r="B61" i="22"/>
  <c r="B101" i="22" s="1"/>
  <c r="B141" i="22" s="1"/>
  <c r="A61" i="22"/>
  <c r="A101" i="22" s="1"/>
  <c r="A141" i="22" s="1"/>
  <c r="P60" i="22"/>
  <c r="P100" i="22" s="1"/>
  <c r="P140" i="22" s="1"/>
  <c r="M60" i="22"/>
  <c r="M100" i="22" s="1"/>
  <c r="M140" i="22" s="1"/>
  <c r="K60" i="22"/>
  <c r="K100" i="22" s="1"/>
  <c r="K140" i="22" s="1"/>
  <c r="H60" i="22"/>
  <c r="H100" i="22" s="1"/>
  <c r="H140" i="22" s="1"/>
  <c r="B60" i="22"/>
  <c r="B100" i="22" s="1"/>
  <c r="B140" i="22" s="1"/>
  <c r="A60" i="22"/>
  <c r="A100" i="22" s="1"/>
  <c r="A140" i="22" s="1"/>
  <c r="P59" i="22"/>
  <c r="P99" i="22" s="1"/>
  <c r="P139" i="22" s="1"/>
  <c r="M59" i="22"/>
  <c r="M99" i="22" s="1"/>
  <c r="M139" i="22" s="1"/>
  <c r="K59" i="22"/>
  <c r="K99" i="22" s="1"/>
  <c r="K139" i="22" s="1"/>
  <c r="H59" i="22"/>
  <c r="H99" i="22" s="1"/>
  <c r="H139" i="22" s="1"/>
  <c r="B59" i="22"/>
  <c r="B99" i="22" s="1"/>
  <c r="B139" i="22" s="1"/>
  <c r="A59" i="22"/>
  <c r="A99" i="22" s="1"/>
  <c r="A139" i="22" s="1"/>
  <c r="P58" i="22"/>
  <c r="P98" i="22" s="1"/>
  <c r="P138" i="22" s="1"/>
  <c r="M58" i="22"/>
  <c r="M98" i="22" s="1"/>
  <c r="M138" i="22" s="1"/>
  <c r="K58" i="22"/>
  <c r="K98" i="22" s="1"/>
  <c r="K138" i="22" s="1"/>
  <c r="H58" i="22"/>
  <c r="H98" i="22" s="1"/>
  <c r="H138" i="22" s="1"/>
  <c r="B58" i="22"/>
  <c r="B98" i="22" s="1"/>
  <c r="B138" i="22" s="1"/>
  <c r="A58" i="22"/>
  <c r="A98" i="22" s="1"/>
  <c r="A138" i="22" s="1"/>
  <c r="P57" i="22"/>
  <c r="P97" i="22" s="1"/>
  <c r="P137" i="22" s="1"/>
  <c r="M57" i="22"/>
  <c r="M97" i="22" s="1"/>
  <c r="M137" i="22" s="1"/>
  <c r="K57" i="22"/>
  <c r="K97" i="22" s="1"/>
  <c r="K137" i="22" s="1"/>
  <c r="H57" i="22"/>
  <c r="H97" i="22" s="1"/>
  <c r="H137" i="22" s="1"/>
  <c r="B57" i="22"/>
  <c r="B97" i="22" s="1"/>
  <c r="B137" i="22" s="1"/>
  <c r="A57" i="22"/>
  <c r="A97" i="22" s="1"/>
  <c r="A137" i="22" s="1"/>
  <c r="P56" i="22"/>
  <c r="P96" i="22" s="1"/>
  <c r="P136" i="22" s="1"/>
  <c r="M56" i="22"/>
  <c r="M96" i="22" s="1"/>
  <c r="M136" i="22" s="1"/>
  <c r="K56" i="22"/>
  <c r="K96" i="22" s="1"/>
  <c r="K136" i="22" s="1"/>
  <c r="H56" i="22"/>
  <c r="H96" i="22" s="1"/>
  <c r="H136" i="22" s="1"/>
  <c r="B56" i="22"/>
  <c r="B96" i="22" s="1"/>
  <c r="B136" i="22" s="1"/>
  <c r="A56" i="22"/>
  <c r="A96" i="22" s="1"/>
  <c r="A136" i="22" s="1"/>
  <c r="P55" i="22"/>
  <c r="P95" i="22" s="1"/>
  <c r="P135" i="22" s="1"/>
  <c r="M55" i="22"/>
  <c r="M95" i="22" s="1"/>
  <c r="M135" i="22" s="1"/>
  <c r="K55" i="22"/>
  <c r="K95" i="22" s="1"/>
  <c r="H55" i="22"/>
  <c r="H95" i="22" s="1"/>
  <c r="B55" i="22"/>
  <c r="B95" i="22" s="1"/>
  <c r="B135" i="22" s="1"/>
  <c r="A55" i="22"/>
  <c r="A95" i="22" s="1"/>
  <c r="A135" i="22" s="1"/>
  <c r="C54" i="22"/>
  <c r="C94" i="22" s="1"/>
  <c r="C134" i="22" s="1"/>
  <c r="C53" i="22"/>
  <c r="C93" i="22" s="1"/>
  <c r="C133" i="22" s="1"/>
  <c r="B53" i="22"/>
  <c r="B93" i="22" s="1"/>
  <c r="B133" i="22" s="1"/>
  <c r="L49" i="22"/>
  <c r="L89" i="22" s="1"/>
  <c r="L129" i="22" s="1"/>
  <c r="L48" i="22"/>
  <c r="L88" i="22" s="1"/>
  <c r="L128" i="22" s="1"/>
  <c r="A48" i="22"/>
  <c r="A88" i="22" s="1"/>
  <c r="A128" i="22" s="1"/>
  <c r="L46" i="22"/>
  <c r="L86" i="22" s="1"/>
  <c r="L126" i="22" s="1"/>
  <c r="C46" i="22"/>
  <c r="C86" i="22" s="1"/>
  <c r="C126" i="22" s="1"/>
  <c r="M42" i="22"/>
  <c r="M82" i="22" s="1"/>
  <c r="M122" i="22" s="1"/>
  <c r="K35" i="22"/>
  <c r="H35" i="22"/>
  <c r="L47" i="22"/>
  <c r="L87" i="22" s="1"/>
  <c r="L127" i="22" s="1"/>
  <c r="M78" i="21"/>
  <c r="M118" i="21" s="1"/>
  <c r="M158" i="21" s="1"/>
  <c r="D77" i="21"/>
  <c r="D117" i="21" s="1"/>
  <c r="D157" i="21" s="1"/>
  <c r="M77" i="21"/>
  <c r="M117" i="21" s="1"/>
  <c r="M157" i="21" s="1"/>
  <c r="D76" i="21"/>
  <c r="D116" i="21" s="1"/>
  <c r="D156" i="21" s="1"/>
  <c r="P74" i="21"/>
  <c r="P114" i="21" s="1"/>
  <c r="P154" i="21" s="1"/>
  <c r="M74" i="21"/>
  <c r="M114" i="21" s="1"/>
  <c r="M154" i="21" s="1"/>
  <c r="K74" i="21"/>
  <c r="K114" i="21" s="1"/>
  <c r="K154" i="21" s="1"/>
  <c r="H74" i="21"/>
  <c r="H114" i="21" s="1"/>
  <c r="H154" i="21" s="1"/>
  <c r="B73" i="21"/>
  <c r="B113" i="21" s="1"/>
  <c r="B153" i="21" s="1"/>
  <c r="A74" i="21"/>
  <c r="A114" i="21" s="1"/>
  <c r="A154" i="21" s="1"/>
  <c r="P73" i="21"/>
  <c r="P113" i="21" s="1"/>
  <c r="P153" i="21" s="1"/>
  <c r="M73" i="21"/>
  <c r="M113" i="21" s="1"/>
  <c r="M153" i="21" s="1"/>
  <c r="K73" i="21"/>
  <c r="K113" i="21" s="1"/>
  <c r="K153" i="21" s="1"/>
  <c r="H73" i="21"/>
  <c r="H113" i="21" s="1"/>
  <c r="H153" i="21" s="1"/>
  <c r="B72" i="21"/>
  <c r="B112" i="21" s="1"/>
  <c r="B152" i="21" s="1"/>
  <c r="A73" i="21"/>
  <c r="A113" i="21" s="1"/>
  <c r="A153" i="21" s="1"/>
  <c r="P72" i="21"/>
  <c r="P112" i="21" s="1"/>
  <c r="P152" i="21" s="1"/>
  <c r="M72" i="21"/>
  <c r="M112" i="21" s="1"/>
  <c r="M152" i="21" s="1"/>
  <c r="K72" i="21"/>
  <c r="K112" i="21" s="1"/>
  <c r="K152" i="21" s="1"/>
  <c r="H72" i="21"/>
  <c r="H112" i="21" s="1"/>
  <c r="H152" i="21" s="1"/>
  <c r="B71" i="21"/>
  <c r="B111" i="21" s="1"/>
  <c r="B151" i="21" s="1"/>
  <c r="A72" i="21"/>
  <c r="A112" i="21" s="1"/>
  <c r="A152" i="21" s="1"/>
  <c r="P71" i="21"/>
  <c r="P111" i="21" s="1"/>
  <c r="P151" i="21" s="1"/>
  <c r="M71" i="21"/>
  <c r="M111" i="21" s="1"/>
  <c r="M151" i="21" s="1"/>
  <c r="K71" i="21"/>
  <c r="K111" i="21" s="1"/>
  <c r="K151" i="21" s="1"/>
  <c r="H71" i="21"/>
  <c r="H111" i="21" s="1"/>
  <c r="H151" i="21" s="1"/>
  <c r="B70" i="21"/>
  <c r="B110" i="21" s="1"/>
  <c r="B150" i="21" s="1"/>
  <c r="A71" i="21"/>
  <c r="A111" i="21" s="1"/>
  <c r="A151" i="21" s="1"/>
  <c r="P70" i="21"/>
  <c r="P110" i="21" s="1"/>
  <c r="P150" i="21" s="1"/>
  <c r="M70" i="21"/>
  <c r="M110" i="21" s="1"/>
  <c r="M150" i="21" s="1"/>
  <c r="K70" i="21"/>
  <c r="K110" i="21" s="1"/>
  <c r="K150" i="21" s="1"/>
  <c r="H70" i="21"/>
  <c r="H110" i="21" s="1"/>
  <c r="H150" i="21" s="1"/>
  <c r="B69" i="21"/>
  <c r="B109" i="21" s="1"/>
  <c r="B149" i="21" s="1"/>
  <c r="A70" i="21"/>
  <c r="A110" i="21" s="1"/>
  <c r="A150" i="21" s="1"/>
  <c r="P69" i="21"/>
  <c r="P109" i="21" s="1"/>
  <c r="P149" i="21" s="1"/>
  <c r="M69" i="21"/>
  <c r="M109" i="21" s="1"/>
  <c r="M149" i="21" s="1"/>
  <c r="K69" i="21"/>
  <c r="K109" i="21" s="1"/>
  <c r="K149" i="21" s="1"/>
  <c r="H69" i="21"/>
  <c r="H109" i="21" s="1"/>
  <c r="H149" i="21" s="1"/>
  <c r="B68" i="21"/>
  <c r="B108" i="21" s="1"/>
  <c r="B148" i="21" s="1"/>
  <c r="A69" i="21"/>
  <c r="A109" i="21" s="1"/>
  <c r="A149" i="21" s="1"/>
  <c r="P68" i="21"/>
  <c r="P108" i="21" s="1"/>
  <c r="P148" i="21" s="1"/>
  <c r="M68" i="21"/>
  <c r="M108" i="21" s="1"/>
  <c r="M148" i="21" s="1"/>
  <c r="K68" i="21"/>
  <c r="K108" i="21" s="1"/>
  <c r="K148" i="21" s="1"/>
  <c r="H68" i="21"/>
  <c r="H108" i="21" s="1"/>
  <c r="H148" i="21" s="1"/>
  <c r="B67" i="21"/>
  <c r="B107" i="21" s="1"/>
  <c r="B147" i="21" s="1"/>
  <c r="A68" i="21"/>
  <c r="A108" i="21" s="1"/>
  <c r="A148" i="21" s="1"/>
  <c r="P67" i="21"/>
  <c r="P107" i="21" s="1"/>
  <c r="P147" i="21" s="1"/>
  <c r="M67" i="21"/>
  <c r="M107" i="21" s="1"/>
  <c r="M147" i="21" s="1"/>
  <c r="K67" i="21"/>
  <c r="K107" i="21" s="1"/>
  <c r="K147" i="21" s="1"/>
  <c r="H67" i="21"/>
  <c r="H107" i="21" s="1"/>
  <c r="H147" i="21" s="1"/>
  <c r="B66" i="21"/>
  <c r="B106" i="21" s="1"/>
  <c r="B146" i="21" s="1"/>
  <c r="A67" i="21"/>
  <c r="A107" i="21" s="1"/>
  <c r="A147" i="21" s="1"/>
  <c r="P66" i="21"/>
  <c r="P106" i="21" s="1"/>
  <c r="P146" i="21" s="1"/>
  <c r="M66" i="21"/>
  <c r="M106" i="21" s="1"/>
  <c r="M146" i="21" s="1"/>
  <c r="K66" i="21"/>
  <c r="K106" i="21" s="1"/>
  <c r="K146" i="21" s="1"/>
  <c r="H66" i="21"/>
  <c r="H106" i="21" s="1"/>
  <c r="H146" i="21" s="1"/>
  <c r="B65" i="21"/>
  <c r="B105" i="21" s="1"/>
  <c r="B145" i="21" s="1"/>
  <c r="A66" i="21"/>
  <c r="A106" i="21" s="1"/>
  <c r="A146" i="21" s="1"/>
  <c r="P65" i="21"/>
  <c r="P105" i="21" s="1"/>
  <c r="P145" i="21" s="1"/>
  <c r="M65" i="21"/>
  <c r="M105" i="21" s="1"/>
  <c r="M145" i="21" s="1"/>
  <c r="K65" i="21"/>
  <c r="K105" i="21" s="1"/>
  <c r="K145" i="21" s="1"/>
  <c r="H65" i="21"/>
  <c r="H105" i="21" s="1"/>
  <c r="H145" i="21" s="1"/>
  <c r="B64" i="21"/>
  <c r="B104" i="21" s="1"/>
  <c r="B144" i="21" s="1"/>
  <c r="A65" i="21"/>
  <c r="A105" i="21" s="1"/>
  <c r="A145" i="21" s="1"/>
  <c r="P64" i="21"/>
  <c r="P104" i="21" s="1"/>
  <c r="P144" i="21" s="1"/>
  <c r="M64" i="21"/>
  <c r="M104" i="21" s="1"/>
  <c r="M144" i="21" s="1"/>
  <c r="K64" i="21"/>
  <c r="K104" i="21" s="1"/>
  <c r="K144" i="21" s="1"/>
  <c r="H64" i="21"/>
  <c r="H104" i="21" s="1"/>
  <c r="H144" i="21" s="1"/>
  <c r="B63" i="21"/>
  <c r="B103" i="21" s="1"/>
  <c r="B143" i="21" s="1"/>
  <c r="A64" i="21"/>
  <c r="A104" i="21" s="1"/>
  <c r="A144" i="21" s="1"/>
  <c r="P63" i="21"/>
  <c r="P103" i="21" s="1"/>
  <c r="P143" i="21" s="1"/>
  <c r="M63" i="21"/>
  <c r="M103" i="21" s="1"/>
  <c r="M143" i="21" s="1"/>
  <c r="K63" i="21"/>
  <c r="K103" i="21" s="1"/>
  <c r="K143" i="21" s="1"/>
  <c r="H63" i="21"/>
  <c r="H103" i="21" s="1"/>
  <c r="H143" i="21" s="1"/>
  <c r="B62" i="21"/>
  <c r="B102" i="21" s="1"/>
  <c r="B142" i="21" s="1"/>
  <c r="A63" i="21"/>
  <c r="A103" i="21" s="1"/>
  <c r="A143" i="21" s="1"/>
  <c r="P62" i="21"/>
  <c r="P102" i="21" s="1"/>
  <c r="P142" i="21" s="1"/>
  <c r="M62" i="21"/>
  <c r="M102" i="21" s="1"/>
  <c r="M142" i="21" s="1"/>
  <c r="K62" i="21"/>
  <c r="K102" i="21" s="1"/>
  <c r="K142" i="21" s="1"/>
  <c r="H62" i="21"/>
  <c r="H102" i="21" s="1"/>
  <c r="H142" i="21" s="1"/>
  <c r="B61" i="21"/>
  <c r="B101" i="21" s="1"/>
  <c r="B141" i="21" s="1"/>
  <c r="A62" i="21"/>
  <c r="A102" i="21" s="1"/>
  <c r="A142" i="21" s="1"/>
  <c r="P61" i="21"/>
  <c r="P101" i="21" s="1"/>
  <c r="P141" i="21" s="1"/>
  <c r="M61" i="21"/>
  <c r="M101" i="21" s="1"/>
  <c r="M141" i="21" s="1"/>
  <c r="K61" i="21"/>
  <c r="K101" i="21" s="1"/>
  <c r="K141" i="21" s="1"/>
  <c r="H61" i="21"/>
  <c r="H101" i="21" s="1"/>
  <c r="H141" i="21" s="1"/>
  <c r="B60" i="21"/>
  <c r="B100" i="21" s="1"/>
  <c r="B140" i="21" s="1"/>
  <c r="A61" i="21"/>
  <c r="A101" i="21" s="1"/>
  <c r="A141" i="21" s="1"/>
  <c r="P60" i="21"/>
  <c r="P100" i="21" s="1"/>
  <c r="P140" i="21" s="1"/>
  <c r="M60" i="21"/>
  <c r="M100" i="21" s="1"/>
  <c r="M140" i="21" s="1"/>
  <c r="K60" i="21"/>
  <c r="K100" i="21" s="1"/>
  <c r="K140" i="21" s="1"/>
  <c r="H60" i="21"/>
  <c r="H100" i="21" s="1"/>
  <c r="H140" i="21" s="1"/>
  <c r="B59" i="21"/>
  <c r="B99" i="21" s="1"/>
  <c r="B139" i="21" s="1"/>
  <c r="A60" i="21"/>
  <c r="A100" i="21" s="1"/>
  <c r="A140" i="21" s="1"/>
  <c r="P59" i="21"/>
  <c r="P99" i="21" s="1"/>
  <c r="P139" i="21" s="1"/>
  <c r="M59" i="21"/>
  <c r="M99" i="21" s="1"/>
  <c r="M139" i="21" s="1"/>
  <c r="K59" i="21"/>
  <c r="K99" i="21" s="1"/>
  <c r="K139" i="21" s="1"/>
  <c r="H59" i="21"/>
  <c r="H99" i="21" s="1"/>
  <c r="H139" i="21" s="1"/>
  <c r="B58" i="21"/>
  <c r="B98" i="21" s="1"/>
  <c r="B138" i="21" s="1"/>
  <c r="A59" i="21"/>
  <c r="A99" i="21" s="1"/>
  <c r="A139" i="21" s="1"/>
  <c r="P58" i="21"/>
  <c r="P98" i="21" s="1"/>
  <c r="P138" i="21" s="1"/>
  <c r="M58" i="21"/>
  <c r="M98" i="21" s="1"/>
  <c r="M138" i="21" s="1"/>
  <c r="K58" i="21"/>
  <c r="K98" i="21" s="1"/>
  <c r="K138" i="21" s="1"/>
  <c r="H58" i="21"/>
  <c r="H98" i="21" s="1"/>
  <c r="H138" i="21" s="1"/>
  <c r="B57" i="21"/>
  <c r="B97" i="21" s="1"/>
  <c r="B137" i="21" s="1"/>
  <c r="A58" i="21"/>
  <c r="A98" i="21" s="1"/>
  <c r="A138" i="21" s="1"/>
  <c r="P57" i="21"/>
  <c r="P97" i="21" s="1"/>
  <c r="P137" i="21" s="1"/>
  <c r="M57" i="21"/>
  <c r="M97" i="21" s="1"/>
  <c r="M137" i="21" s="1"/>
  <c r="K57" i="21"/>
  <c r="K97" i="21" s="1"/>
  <c r="K137" i="21" s="1"/>
  <c r="H57" i="21"/>
  <c r="H97" i="21" s="1"/>
  <c r="H137" i="21" s="1"/>
  <c r="B56" i="21"/>
  <c r="B96" i="21" s="1"/>
  <c r="B136" i="21" s="1"/>
  <c r="A57" i="21"/>
  <c r="A97" i="21" s="1"/>
  <c r="A137" i="21" s="1"/>
  <c r="P56" i="21"/>
  <c r="P96" i="21" s="1"/>
  <c r="P136" i="21" s="1"/>
  <c r="M56" i="21"/>
  <c r="M96" i="21" s="1"/>
  <c r="M136" i="21" s="1"/>
  <c r="K56" i="21"/>
  <c r="K96" i="21" s="1"/>
  <c r="K136" i="21" s="1"/>
  <c r="H56" i="21"/>
  <c r="H96" i="21" s="1"/>
  <c r="H136" i="21" s="1"/>
  <c r="B55" i="21"/>
  <c r="B95" i="21" s="1"/>
  <c r="B135" i="21" s="1"/>
  <c r="A56" i="21"/>
  <c r="A96" i="21" s="1"/>
  <c r="A136" i="21" s="1"/>
  <c r="P55" i="21"/>
  <c r="P95" i="21" s="1"/>
  <c r="P135" i="21" s="1"/>
  <c r="M55" i="21"/>
  <c r="M95" i="21" s="1"/>
  <c r="M135" i="21" s="1"/>
  <c r="K55" i="21"/>
  <c r="K95" i="21" s="1"/>
  <c r="H55" i="21"/>
  <c r="H95" i="21" s="1"/>
  <c r="B54" i="21"/>
  <c r="B94" i="21" s="1"/>
  <c r="B134" i="21" s="1"/>
  <c r="A55" i="21"/>
  <c r="A95" i="21" s="1"/>
  <c r="A135" i="21" s="1"/>
  <c r="C53" i="21"/>
  <c r="C93" i="21" s="1"/>
  <c r="C133" i="21" s="1"/>
  <c r="C52" i="21"/>
  <c r="C92" i="21" s="1"/>
  <c r="C132" i="21" s="1"/>
  <c r="B52" i="21"/>
  <c r="B92" i="21" s="1"/>
  <c r="B132" i="21" s="1"/>
  <c r="L49" i="21"/>
  <c r="L89" i="21" s="1"/>
  <c r="L129" i="21" s="1"/>
  <c r="L48" i="21"/>
  <c r="L88" i="21" s="1"/>
  <c r="L128" i="21" s="1"/>
  <c r="A48" i="21"/>
  <c r="A88" i="21" s="1"/>
  <c r="A128" i="21" s="1"/>
  <c r="L46" i="21"/>
  <c r="L86" i="21" s="1"/>
  <c r="L126" i="21" s="1"/>
  <c r="C45" i="21"/>
  <c r="C85" i="21" s="1"/>
  <c r="C125" i="21" s="1"/>
  <c r="M42" i="21"/>
  <c r="M82" i="21" s="1"/>
  <c r="M122" i="21" s="1"/>
  <c r="K35" i="21"/>
  <c r="H35" i="21"/>
  <c r="L47" i="21"/>
  <c r="L87" i="21" s="1"/>
  <c r="L127" i="21" s="1"/>
  <c r="M78" i="19"/>
  <c r="M118" i="19" s="1"/>
  <c r="M158" i="19" s="1"/>
  <c r="D78" i="19"/>
  <c r="D118" i="19" s="1"/>
  <c r="D158" i="19" s="1"/>
  <c r="M77" i="19"/>
  <c r="M117" i="19" s="1"/>
  <c r="M157" i="19" s="1"/>
  <c r="D77" i="19"/>
  <c r="D117" i="19" s="1"/>
  <c r="D157" i="19" s="1"/>
  <c r="P74" i="19"/>
  <c r="P114" i="19" s="1"/>
  <c r="P154" i="19" s="1"/>
  <c r="M74" i="19"/>
  <c r="M114" i="19" s="1"/>
  <c r="M154" i="19" s="1"/>
  <c r="K74" i="19"/>
  <c r="K114" i="19" s="1"/>
  <c r="K154" i="19" s="1"/>
  <c r="H74" i="19"/>
  <c r="H114" i="19" s="1"/>
  <c r="H154" i="19" s="1"/>
  <c r="B74" i="19"/>
  <c r="B114" i="19" s="1"/>
  <c r="B154" i="19" s="1"/>
  <c r="A74" i="19"/>
  <c r="A114" i="19" s="1"/>
  <c r="A154" i="19" s="1"/>
  <c r="P73" i="19"/>
  <c r="P113" i="19" s="1"/>
  <c r="P153" i="19" s="1"/>
  <c r="M73" i="19"/>
  <c r="M113" i="19" s="1"/>
  <c r="M153" i="19" s="1"/>
  <c r="K73" i="19"/>
  <c r="K113" i="19" s="1"/>
  <c r="K153" i="19" s="1"/>
  <c r="H73" i="19"/>
  <c r="H113" i="19" s="1"/>
  <c r="H153" i="19" s="1"/>
  <c r="B73" i="19"/>
  <c r="B113" i="19" s="1"/>
  <c r="B153" i="19" s="1"/>
  <c r="A73" i="19"/>
  <c r="A113" i="19" s="1"/>
  <c r="A153" i="19" s="1"/>
  <c r="P72" i="19"/>
  <c r="P112" i="19" s="1"/>
  <c r="P152" i="19" s="1"/>
  <c r="M72" i="19"/>
  <c r="M112" i="19" s="1"/>
  <c r="M152" i="19" s="1"/>
  <c r="K72" i="19"/>
  <c r="K112" i="19" s="1"/>
  <c r="K152" i="19" s="1"/>
  <c r="H72" i="19"/>
  <c r="H112" i="19" s="1"/>
  <c r="H152" i="19" s="1"/>
  <c r="B72" i="19"/>
  <c r="B112" i="19" s="1"/>
  <c r="B152" i="19" s="1"/>
  <c r="A72" i="19"/>
  <c r="A112" i="19" s="1"/>
  <c r="A152" i="19" s="1"/>
  <c r="P71" i="19"/>
  <c r="P111" i="19" s="1"/>
  <c r="P151" i="19" s="1"/>
  <c r="M71" i="19"/>
  <c r="M111" i="19" s="1"/>
  <c r="M151" i="19" s="1"/>
  <c r="K71" i="19"/>
  <c r="K111" i="19" s="1"/>
  <c r="K151" i="19" s="1"/>
  <c r="H71" i="19"/>
  <c r="H111" i="19" s="1"/>
  <c r="H151" i="19" s="1"/>
  <c r="B71" i="19"/>
  <c r="B111" i="19" s="1"/>
  <c r="B151" i="19" s="1"/>
  <c r="A71" i="19"/>
  <c r="A111" i="19" s="1"/>
  <c r="A151" i="19" s="1"/>
  <c r="P70" i="19"/>
  <c r="P110" i="19" s="1"/>
  <c r="P150" i="19" s="1"/>
  <c r="M70" i="19"/>
  <c r="M110" i="19" s="1"/>
  <c r="M150" i="19" s="1"/>
  <c r="K70" i="19"/>
  <c r="K110" i="19" s="1"/>
  <c r="K150" i="19" s="1"/>
  <c r="H70" i="19"/>
  <c r="H110" i="19" s="1"/>
  <c r="H150" i="19" s="1"/>
  <c r="B70" i="19"/>
  <c r="B110" i="19" s="1"/>
  <c r="B150" i="19" s="1"/>
  <c r="A70" i="19"/>
  <c r="A110" i="19" s="1"/>
  <c r="A150" i="19" s="1"/>
  <c r="P69" i="19"/>
  <c r="P109" i="19" s="1"/>
  <c r="P149" i="19" s="1"/>
  <c r="M69" i="19"/>
  <c r="M109" i="19" s="1"/>
  <c r="M149" i="19" s="1"/>
  <c r="K69" i="19"/>
  <c r="K109" i="19" s="1"/>
  <c r="K149" i="19" s="1"/>
  <c r="H69" i="19"/>
  <c r="H109" i="19" s="1"/>
  <c r="H149" i="19" s="1"/>
  <c r="B69" i="19"/>
  <c r="B109" i="19" s="1"/>
  <c r="B149" i="19" s="1"/>
  <c r="A69" i="19"/>
  <c r="A109" i="19" s="1"/>
  <c r="A149" i="19" s="1"/>
  <c r="P68" i="19"/>
  <c r="P108" i="19" s="1"/>
  <c r="P148" i="19" s="1"/>
  <c r="M68" i="19"/>
  <c r="M108" i="19" s="1"/>
  <c r="M148" i="19" s="1"/>
  <c r="K68" i="19"/>
  <c r="K108" i="19" s="1"/>
  <c r="K148" i="19" s="1"/>
  <c r="H68" i="19"/>
  <c r="H108" i="19" s="1"/>
  <c r="H148" i="19" s="1"/>
  <c r="B68" i="19"/>
  <c r="B108" i="19" s="1"/>
  <c r="B148" i="19" s="1"/>
  <c r="A68" i="19"/>
  <c r="A108" i="19" s="1"/>
  <c r="A148" i="19" s="1"/>
  <c r="P67" i="19"/>
  <c r="P107" i="19" s="1"/>
  <c r="P147" i="19" s="1"/>
  <c r="M67" i="19"/>
  <c r="M107" i="19" s="1"/>
  <c r="M147" i="19" s="1"/>
  <c r="K67" i="19"/>
  <c r="K107" i="19" s="1"/>
  <c r="K147" i="19" s="1"/>
  <c r="H67" i="19"/>
  <c r="H107" i="19" s="1"/>
  <c r="H147" i="19" s="1"/>
  <c r="B67" i="19"/>
  <c r="B107" i="19" s="1"/>
  <c r="B147" i="19" s="1"/>
  <c r="A67" i="19"/>
  <c r="A107" i="19" s="1"/>
  <c r="A147" i="19" s="1"/>
  <c r="P66" i="19"/>
  <c r="P106" i="19" s="1"/>
  <c r="P146" i="19" s="1"/>
  <c r="M66" i="19"/>
  <c r="M106" i="19" s="1"/>
  <c r="M146" i="19" s="1"/>
  <c r="K66" i="19"/>
  <c r="K106" i="19" s="1"/>
  <c r="K146" i="19" s="1"/>
  <c r="H66" i="19"/>
  <c r="H106" i="19" s="1"/>
  <c r="H146" i="19" s="1"/>
  <c r="B66" i="19"/>
  <c r="B106" i="19" s="1"/>
  <c r="B146" i="19" s="1"/>
  <c r="A66" i="19"/>
  <c r="A106" i="19" s="1"/>
  <c r="A146" i="19" s="1"/>
  <c r="P65" i="19"/>
  <c r="P105" i="19" s="1"/>
  <c r="P145" i="19" s="1"/>
  <c r="M65" i="19"/>
  <c r="M105" i="19" s="1"/>
  <c r="M145" i="19" s="1"/>
  <c r="K65" i="19"/>
  <c r="K105" i="19" s="1"/>
  <c r="K145" i="19" s="1"/>
  <c r="H65" i="19"/>
  <c r="H105" i="19" s="1"/>
  <c r="H145" i="19" s="1"/>
  <c r="B65" i="19"/>
  <c r="B105" i="19" s="1"/>
  <c r="B145" i="19" s="1"/>
  <c r="A65" i="19"/>
  <c r="A105" i="19" s="1"/>
  <c r="A145" i="19" s="1"/>
  <c r="P64" i="19"/>
  <c r="P104" i="19" s="1"/>
  <c r="P144" i="19" s="1"/>
  <c r="M64" i="19"/>
  <c r="M104" i="19" s="1"/>
  <c r="M144" i="19" s="1"/>
  <c r="K64" i="19"/>
  <c r="K104" i="19" s="1"/>
  <c r="K144" i="19" s="1"/>
  <c r="H64" i="19"/>
  <c r="H104" i="19" s="1"/>
  <c r="H144" i="19" s="1"/>
  <c r="B64" i="19"/>
  <c r="B104" i="19" s="1"/>
  <c r="B144" i="19" s="1"/>
  <c r="A64" i="19"/>
  <c r="A104" i="19" s="1"/>
  <c r="A144" i="19" s="1"/>
  <c r="P63" i="19"/>
  <c r="P103" i="19" s="1"/>
  <c r="P143" i="19" s="1"/>
  <c r="M63" i="19"/>
  <c r="M103" i="19" s="1"/>
  <c r="M143" i="19" s="1"/>
  <c r="K63" i="19"/>
  <c r="K103" i="19" s="1"/>
  <c r="K143" i="19" s="1"/>
  <c r="H63" i="19"/>
  <c r="H103" i="19" s="1"/>
  <c r="H143" i="19" s="1"/>
  <c r="B63" i="19"/>
  <c r="B103" i="19" s="1"/>
  <c r="B143" i="19" s="1"/>
  <c r="A63" i="19"/>
  <c r="A103" i="19" s="1"/>
  <c r="A143" i="19" s="1"/>
  <c r="P62" i="19"/>
  <c r="P102" i="19" s="1"/>
  <c r="P142" i="19" s="1"/>
  <c r="M62" i="19"/>
  <c r="M102" i="19" s="1"/>
  <c r="M142" i="19" s="1"/>
  <c r="K62" i="19"/>
  <c r="K102" i="19" s="1"/>
  <c r="K142" i="19" s="1"/>
  <c r="H62" i="19"/>
  <c r="H102" i="19" s="1"/>
  <c r="H142" i="19" s="1"/>
  <c r="B62" i="19"/>
  <c r="B102" i="19" s="1"/>
  <c r="B142" i="19" s="1"/>
  <c r="A62" i="19"/>
  <c r="A102" i="19" s="1"/>
  <c r="A142" i="19" s="1"/>
  <c r="P61" i="19"/>
  <c r="P101" i="19" s="1"/>
  <c r="P141" i="19" s="1"/>
  <c r="M61" i="19"/>
  <c r="M101" i="19" s="1"/>
  <c r="M141" i="19" s="1"/>
  <c r="K61" i="19"/>
  <c r="K101" i="19" s="1"/>
  <c r="K141" i="19" s="1"/>
  <c r="H61" i="19"/>
  <c r="H101" i="19" s="1"/>
  <c r="H141" i="19" s="1"/>
  <c r="B61" i="19"/>
  <c r="B101" i="19" s="1"/>
  <c r="B141" i="19" s="1"/>
  <c r="A61" i="19"/>
  <c r="A101" i="19" s="1"/>
  <c r="A141" i="19" s="1"/>
  <c r="P60" i="19"/>
  <c r="P100" i="19" s="1"/>
  <c r="P140" i="19" s="1"/>
  <c r="M60" i="19"/>
  <c r="M100" i="19" s="1"/>
  <c r="M140" i="19" s="1"/>
  <c r="K60" i="19"/>
  <c r="K100" i="19" s="1"/>
  <c r="K140" i="19" s="1"/>
  <c r="H60" i="19"/>
  <c r="H100" i="19" s="1"/>
  <c r="H140" i="19" s="1"/>
  <c r="B60" i="19"/>
  <c r="B100" i="19" s="1"/>
  <c r="B140" i="19" s="1"/>
  <c r="A60" i="19"/>
  <c r="A100" i="19" s="1"/>
  <c r="A140" i="19" s="1"/>
  <c r="P59" i="19"/>
  <c r="P99" i="19" s="1"/>
  <c r="P139" i="19" s="1"/>
  <c r="M59" i="19"/>
  <c r="M99" i="19" s="1"/>
  <c r="M139" i="19" s="1"/>
  <c r="K59" i="19"/>
  <c r="K99" i="19" s="1"/>
  <c r="K139" i="19" s="1"/>
  <c r="H59" i="19"/>
  <c r="H99" i="19" s="1"/>
  <c r="H139" i="19" s="1"/>
  <c r="B59" i="19"/>
  <c r="B99" i="19" s="1"/>
  <c r="B139" i="19" s="1"/>
  <c r="A59" i="19"/>
  <c r="A99" i="19" s="1"/>
  <c r="A139" i="19" s="1"/>
  <c r="P58" i="19"/>
  <c r="P98" i="19" s="1"/>
  <c r="P138" i="19" s="1"/>
  <c r="M58" i="19"/>
  <c r="M98" i="19" s="1"/>
  <c r="M138" i="19" s="1"/>
  <c r="K58" i="19"/>
  <c r="K98" i="19" s="1"/>
  <c r="K138" i="19" s="1"/>
  <c r="H58" i="19"/>
  <c r="H98" i="19" s="1"/>
  <c r="H138" i="19" s="1"/>
  <c r="B58" i="19"/>
  <c r="B98" i="19" s="1"/>
  <c r="B138" i="19" s="1"/>
  <c r="A58" i="19"/>
  <c r="A98" i="19" s="1"/>
  <c r="A138" i="19" s="1"/>
  <c r="P57" i="19"/>
  <c r="P97" i="19" s="1"/>
  <c r="P137" i="19" s="1"/>
  <c r="M57" i="19"/>
  <c r="M97" i="19" s="1"/>
  <c r="M137" i="19" s="1"/>
  <c r="K57" i="19"/>
  <c r="K97" i="19" s="1"/>
  <c r="K137" i="19" s="1"/>
  <c r="H57" i="19"/>
  <c r="H97" i="19" s="1"/>
  <c r="H137" i="19" s="1"/>
  <c r="B57" i="19"/>
  <c r="B97" i="19" s="1"/>
  <c r="B137" i="19" s="1"/>
  <c r="A57" i="19"/>
  <c r="A97" i="19" s="1"/>
  <c r="A137" i="19" s="1"/>
  <c r="P56" i="19"/>
  <c r="P96" i="19" s="1"/>
  <c r="P136" i="19" s="1"/>
  <c r="M56" i="19"/>
  <c r="M96" i="19" s="1"/>
  <c r="M136" i="19" s="1"/>
  <c r="K56" i="19"/>
  <c r="K96" i="19" s="1"/>
  <c r="K136" i="19" s="1"/>
  <c r="H56" i="19"/>
  <c r="H96" i="19" s="1"/>
  <c r="H136" i="19" s="1"/>
  <c r="B56" i="19"/>
  <c r="B96" i="19" s="1"/>
  <c r="B136" i="19" s="1"/>
  <c r="A56" i="19"/>
  <c r="A96" i="19" s="1"/>
  <c r="A136" i="19" s="1"/>
  <c r="P55" i="19"/>
  <c r="P95" i="19" s="1"/>
  <c r="P135" i="19" s="1"/>
  <c r="M55" i="19"/>
  <c r="M95" i="19" s="1"/>
  <c r="M135" i="19" s="1"/>
  <c r="K55" i="19"/>
  <c r="K95" i="19" s="1"/>
  <c r="H55" i="19"/>
  <c r="H95" i="19" s="1"/>
  <c r="B55" i="19"/>
  <c r="B95" i="19" s="1"/>
  <c r="B135" i="19" s="1"/>
  <c r="A55" i="19"/>
  <c r="A95" i="19" s="1"/>
  <c r="A135" i="19" s="1"/>
  <c r="C54" i="19"/>
  <c r="C94" i="19" s="1"/>
  <c r="C134" i="19" s="1"/>
  <c r="C53" i="19"/>
  <c r="C93" i="19" s="1"/>
  <c r="C133" i="19" s="1"/>
  <c r="B53" i="19"/>
  <c r="B93" i="19" s="1"/>
  <c r="B133" i="19" s="1"/>
  <c r="L49" i="19"/>
  <c r="L89" i="19" s="1"/>
  <c r="L129" i="19" s="1"/>
  <c r="L48" i="19"/>
  <c r="L88" i="19" s="1"/>
  <c r="L128" i="19" s="1"/>
  <c r="A48" i="19"/>
  <c r="A88" i="19" s="1"/>
  <c r="A128" i="19" s="1"/>
  <c r="L46" i="19"/>
  <c r="L86" i="19" s="1"/>
  <c r="L126" i="19" s="1"/>
  <c r="C46" i="19"/>
  <c r="C86" i="19" s="1"/>
  <c r="C126" i="19" s="1"/>
  <c r="M42" i="19"/>
  <c r="M82" i="19" s="1"/>
  <c r="M122" i="19" s="1"/>
  <c r="K35" i="19"/>
  <c r="H35" i="19"/>
  <c r="L47" i="19"/>
  <c r="L87" i="19" s="1"/>
  <c r="L127" i="19" s="1"/>
  <c r="M78" i="18"/>
  <c r="M118" i="18" s="1"/>
  <c r="M158" i="18" s="1"/>
  <c r="D78" i="18"/>
  <c r="D118" i="18" s="1"/>
  <c r="D158" i="18" s="1"/>
  <c r="M77" i="18"/>
  <c r="M117" i="18" s="1"/>
  <c r="M157" i="18" s="1"/>
  <c r="D77" i="18"/>
  <c r="D117" i="18" s="1"/>
  <c r="D157" i="18" s="1"/>
  <c r="P74" i="18"/>
  <c r="P114" i="18" s="1"/>
  <c r="P154" i="18" s="1"/>
  <c r="M74" i="18"/>
  <c r="M114" i="18" s="1"/>
  <c r="M154" i="18" s="1"/>
  <c r="K74" i="18"/>
  <c r="K114" i="18" s="1"/>
  <c r="K154" i="18" s="1"/>
  <c r="H74" i="18"/>
  <c r="H114" i="18" s="1"/>
  <c r="H154" i="18" s="1"/>
  <c r="B74" i="18"/>
  <c r="B114" i="18" s="1"/>
  <c r="B154" i="18" s="1"/>
  <c r="A74" i="18"/>
  <c r="A114" i="18" s="1"/>
  <c r="A154" i="18" s="1"/>
  <c r="P73" i="18"/>
  <c r="P113" i="18" s="1"/>
  <c r="P153" i="18" s="1"/>
  <c r="M73" i="18"/>
  <c r="M113" i="18" s="1"/>
  <c r="M153" i="18" s="1"/>
  <c r="K73" i="18"/>
  <c r="K113" i="18" s="1"/>
  <c r="K153" i="18" s="1"/>
  <c r="H73" i="18"/>
  <c r="H113" i="18" s="1"/>
  <c r="H153" i="18" s="1"/>
  <c r="B73" i="18"/>
  <c r="B113" i="18" s="1"/>
  <c r="B153" i="18" s="1"/>
  <c r="A73" i="18"/>
  <c r="A113" i="18" s="1"/>
  <c r="A153" i="18" s="1"/>
  <c r="P72" i="18"/>
  <c r="P112" i="18" s="1"/>
  <c r="P152" i="18" s="1"/>
  <c r="M72" i="18"/>
  <c r="M112" i="18" s="1"/>
  <c r="M152" i="18" s="1"/>
  <c r="K72" i="18"/>
  <c r="K112" i="18" s="1"/>
  <c r="K152" i="18" s="1"/>
  <c r="H72" i="18"/>
  <c r="H112" i="18" s="1"/>
  <c r="H152" i="18" s="1"/>
  <c r="B72" i="18"/>
  <c r="B112" i="18" s="1"/>
  <c r="B152" i="18" s="1"/>
  <c r="A72" i="18"/>
  <c r="A112" i="18" s="1"/>
  <c r="A152" i="18" s="1"/>
  <c r="P71" i="18"/>
  <c r="P111" i="18" s="1"/>
  <c r="P151" i="18" s="1"/>
  <c r="M71" i="18"/>
  <c r="M111" i="18" s="1"/>
  <c r="M151" i="18" s="1"/>
  <c r="K71" i="18"/>
  <c r="K111" i="18" s="1"/>
  <c r="K151" i="18" s="1"/>
  <c r="H71" i="18"/>
  <c r="H111" i="18" s="1"/>
  <c r="H151" i="18" s="1"/>
  <c r="B71" i="18"/>
  <c r="B111" i="18" s="1"/>
  <c r="B151" i="18" s="1"/>
  <c r="A71" i="18"/>
  <c r="A111" i="18" s="1"/>
  <c r="A151" i="18" s="1"/>
  <c r="P70" i="18"/>
  <c r="P110" i="18" s="1"/>
  <c r="P150" i="18" s="1"/>
  <c r="M70" i="18"/>
  <c r="M110" i="18" s="1"/>
  <c r="M150" i="18" s="1"/>
  <c r="K70" i="18"/>
  <c r="K110" i="18" s="1"/>
  <c r="K150" i="18" s="1"/>
  <c r="H70" i="18"/>
  <c r="H110" i="18" s="1"/>
  <c r="H150" i="18" s="1"/>
  <c r="B70" i="18"/>
  <c r="B110" i="18" s="1"/>
  <c r="B150" i="18" s="1"/>
  <c r="A70" i="18"/>
  <c r="A110" i="18" s="1"/>
  <c r="A150" i="18" s="1"/>
  <c r="P69" i="18"/>
  <c r="P109" i="18" s="1"/>
  <c r="P149" i="18" s="1"/>
  <c r="M69" i="18"/>
  <c r="M109" i="18" s="1"/>
  <c r="M149" i="18" s="1"/>
  <c r="K69" i="18"/>
  <c r="K109" i="18" s="1"/>
  <c r="K149" i="18" s="1"/>
  <c r="H69" i="18"/>
  <c r="H109" i="18" s="1"/>
  <c r="H149" i="18" s="1"/>
  <c r="B69" i="18"/>
  <c r="B109" i="18" s="1"/>
  <c r="B149" i="18" s="1"/>
  <c r="A69" i="18"/>
  <c r="A109" i="18" s="1"/>
  <c r="A149" i="18" s="1"/>
  <c r="P68" i="18"/>
  <c r="P108" i="18" s="1"/>
  <c r="P148" i="18" s="1"/>
  <c r="M68" i="18"/>
  <c r="M108" i="18" s="1"/>
  <c r="M148" i="18" s="1"/>
  <c r="K68" i="18"/>
  <c r="K108" i="18" s="1"/>
  <c r="K148" i="18" s="1"/>
  <c r="H68" i="18"/>
  <c r="H108" i="18" s="1"/>
  <c r="H148" i="18" s="1"/>
  <c r="B68" i="18"/>
  <c r="B108" i="18" s="1"/>
  <c r="B148" i="18" s="1"/>
  <c r="A68" i="18"/>
  <c r="A108" i="18" s="1"/>
  <c r="A148" i="18" s="1"/>
  <c r="P67" i="18"/>
  <c r="P107" i="18" s="1"/>
  <c r="P147" i="18" s="1"/>
  <c r="M67" i="18"/>
  <c r="M107" i="18" s="1"/>
  <c r="M147" i="18" s="1"/>
  <c r="K67" i="18"/>
  <c r="K107" i="18" s="1"/>
  <c r="K147" i="18" s="1"/>
  <c r="H67" i="18"/>
  <c r="H107" i="18" s="1"/>
  <c r="H147" i="18" s="1"/>
  <c r="B67" i="18"/>
  <c r="B107" i="18" s="1"/>
  <c r="B147" i="18" s="1"/>
  <c r="A67" i="18"/>
  <c r="A107" i="18" s="1"/>
  <c r="A147" i="18" s="1"/>
  <c r="P66" i="18"/>
  <c r="P106" i="18" s="1"/>
  <c r="P146" i="18" s="1"/>
  <c r="M66" i="18"/>
  <c r="M106" i="18" s="1"/>
  <c r="M146" i="18" s="1"/>
  <c r="K66" i="18"/>
  <c r="K106" i="18" s="1"/>
  <c r="K146" i="18" s="1"/>
  <c r="H66" i="18"/>
  <c r="H106" i="18" s="1"/>
  <c r="H146" i="18" s="1"/>
  <c r="B66" i="18"/>
  <c r="B106" i="18" s="1"/>
  <c r="B146" i="18" s="1"/>
  <c r="A66" i="18"/>
  <c r="A106" i="18" s="1"/>
  <c r="A146" i="18" s="1"/>
  <c r="P65" i="18"/>
  <c r="P105" i="18" s="1"/>
  <c r="P145" i="18" s="1"/>
  <c r="M65" i="18"/>
  <c r="M105" i="18" s="1"/>
  <c r="M145" i="18" s="1"/>
  <c r="K65" i="18"/>
  <c r="K105" i="18" s="1"/>
  <c r="K145" i="18" s="1"/>
  <c r="H65" i="18"/>
  <c r="H105" i="18" s="1"/>
  <c r="H145" i="18" s="1"/>
  <c r="B65" i="18"/>
  <c r="B105" i="18" s="1"/>
  <c r="B145" i="18" s="1"/>
  <c r="A65" i="18"/>
  <c r="A105" i="18" s="1"/>
  <c r="A145" i="18" s="1"/>
  <c r="P64" i="18"/>
  <c r="P104" i="18" s="1"/>
  <c r="P144" i="18" s="1"/>
  <c r="M64" i="18"/>
  <c r="M104" i="18" s="1"/>
  <c r="M144" i="18" s="1"/>
  <c r="K64" i="18"/>
  <c r="K104" i="18" s="1"/>
  <c r="K144" i="18" s="1"/>
  <c r="H64" i="18"/>
  <c r="H104" i="18" s="1"/>
  <c r="H144" i="18" s="1"/>
  <c r="B64" i="18"/>
  <c r="B104" i="18" s="1"/>
  <c r="B144" i="18" s="1"/>
  <c r="A64" i="18"/>
  <c r="A104" i="18" s="1"/>
  <c r="A144" i="18" s="1"/>
  <c r="P63" i="18"/>
  <c r="P103" i="18" s="1"/>
  <c r="P143" i="18" s="1"/>
  <c r="M63" i="18"/>
  <c r="M103" i="18" s="1"/>
  <c r="M143" i="18" s="1"/>
  <c r="K63" i="18"/>
  <c r="K103" i="18" s="1"/>
  <c r="K143" i="18" s="1"/>
  <c r="H63" i="18"/>
  <c r="H103" i="18" s="1"/>
  <c r="H143" i="18" s="1"/>
  <c r="B63" i="18"/>
  <c r="B103" i="18" s="1"/>
  <c r="B143" i="18" s="1"/>
  <c r="A63" i="18"/>
  <c r="A103" i="18" s="1"/>
  <c r="A143" i="18" s="1"/>
  <c r="P62" i="18"/>
  <c r="P102" i="18" s="1"/>
  <c r="P142" i="18" s="1"/>
  <c r="M62" i="18"/>
  <c r="M102" i="18" s="1"/>
  <c r="M142" i="18" s="1"/>
  <c r="K62" i="18"/>
  <c r="K102" i="18" s="1"/>
  <c r="K142" i="18" s="1"/>
  <c r="H62" i="18"/>
  <c r="H102" i="18" s="1"/>
  <c r="H142" i="18" s="1"/>
  <c r="B62" i="18"/>
  <c r="B102" i="18" s="1"/>
  <c r="B142" i="18" s="1"/>
  <c r="A62" i="18"/>
  <c r="A102" i="18" s="1"/>
  <c r="A142" i="18" s="1"/>
  <c r="P61" i="18"/>
  <c r="P101" i="18" s="1"/>
  <c r="P141" i="18" s="1"/>
  <c r="M61" i="18"/>
  <c r="M101" i="18" s="1"/>
  <c r="M141" i="18" s="1"/>
  <c r="K61" i="18"/>
  <c r="K101" i="18" s="1"/>
  <c r="K141" i="18" s="1"/>
  <c r="H61" i="18"/>
  <c r="H101" i="18" s="1"/>
  <c r="H141" i="18" s="1"/>
  <c r="B61" i="18"/>
  <c r="B101" i="18" s="1"/>
  <c r="B141" i="18" s="1"/>
  <c r="A61" i="18"/>
  <c r="A101" i="18" s="1"/>
  <c r="A141" i="18" s="1"/>
  <c r="P60" i="18"/>
  <c r="P100" i="18" s="1"/>
  <c r="P140" i="18" s="1"/>
  <c r="M60" i="18"/>
  <c r="M100" i="18" s="1"/>
  <c r="M140" i="18" s="1"/>
  <c r="K60" i="18"/>
  <c r="K100" i="18" s="1"/>
  <c r="K140" i="18" s="1"/>
  <c r="H60" i="18"/>
  <c r="H100" i="18" s="1"/>
  <c r="H140" i="18" s="1"/>
  <c r="B60" i="18"/>
  <c r="B100" i="18" s="1"/>
  <c r="B140" i="18" s="1"/>
  <c r="A60" i="18"/>
  <c r="A100" i="18" s="1"/>
  <c r="A140" i="18" s="1"/>
  <c r="P59" i="18"/>
  <c r="P99" i="18" s="1"/>
  <c r="P139" i="18" s="1"/>
  <c r="M59" i="18"/>
  <c r="M99" i="18" s="1"/>
  <c r="M139" i="18" s="1"/>
  <c r="K59" i="18"/>
  <c r="K99" i="18" s="1"/>
  <c r="K139" i="18" s="1"/>
  <c r="H59" i="18"/>
  <c r="H99" i="18" s="1"/>
  <c r="H139" i="18" s="1"/>
  <c r="B59" i="18"/>
  <c r="B99" i="18" s="1"/>
  <c r="B139" i="18" s="1"/>
  <c r="A59" i="18"/>
  <c r="A99" i="18" s="1"/>
  <c r="A139" i="18" s="1"/>
  <c r="P58" i="18"/>
  <c r="P98" i="18" s="1"/>
  <c r="P138" i="18" s="1"/>
  <c r="M58" i="18"/>
  <c r="M98" i="18" s="1"/>
  <c r="M138" i="18" s="1"/>
  <c r="K58" i="18"/>
  <c r="K98" i="18" s="1"/>
  <c r="K138" i="18" s="1"/>
  <c r="H58" i="18"/>
  <c r="H98" i="18" s="1"/>
  <c r="H138" i="18" s="1"/>
  <c r="B58" i="18"/>
  <c r="B98" i="18" s="1"/>
  <c r="B138" i="18" s="1"/>
  <c r="A58" i="18"/>
  <c r="A98" i="18" s="1"/>
  <c r="A138" i="18" s="1"/>
  <c r="P57" i="18"/>
  <c r="P97" i="18" s="1"/>
  <c r="P137" i="18" s="1"/>
  <c r="M57" i="18"/>
  <c r="M97" i="18" s="1"/>
  <c r="M137" i="18" s="1"/>
  <c r="K57" i="18"/>
  <c r="K97" i="18" s="1"/>
  <c r="K137" i="18" s="1"/>
  <c r="H57" i="18"/>
  <c r="H97" i="18" s="1"/>
  <c r="H137" i="18" s="1"/>
  <c r="B57" i="18"/>
  <c r="B97" i="18" s="1"/>
  <c r="B137" i="18" s="1"/>
  <c r="A57" i="18"/>
  <c r="A97" i="18" s="1"/>
  <c r="A137" i="18" s="1"/>
  <c r="P56" i="18"/>
  <c r="P96" i="18" s="1"/>
  <c r="P136" i="18" s="1"/>
  <c r="M56" i="18"/>
  <c r="M96" i="18" s="1"/>
  <c r="M136" i="18" s="1"/>
  <c r="K56" i="18"/>
  <c r="K96" i="18" s="1"/>
  <c r="K136" i="18" s="1"/>
  <c r="H56" i="18"/>
  <c r="H96" i="18" s="1"/>
  <c r="H136" i="18" s="1"/>
  <c r="B56" i="18"/>
  <c r="B96" i="18" s="1"/>
  <c r="B136" i="18" s="1"/>
  <c r="A56" i="18"/>
  <c r="A96" i="18" s="1"/>
  <c r="A136" i="18" s="1"/>
  <c r="P55" i="18"/>
  <c r="P95" i="18" s="1"/>
  <c r="P135" i="18" s="1"/>
  <c r="M55" i="18"/>
  <c r="M95" i="18" s="1"/>
  <c r="M135" i="18" s="1"/>
  <c r="K55" i="18"/>
  <c r="K95" i="18" s="1"/>
  <c r="H55" i="18"/>
  <c r="H95" i="18" s="1"/>
  <c r="B55" i="18"/>
  <c r="B95" i="18" s="1"/>
  <c r="B135" i="18" s="1"/>
  <c r="A55" i="18"/>
  <c r="A95" i="18" s="1"/>
  <c r="A135" i="18" s="1"/>
  <c r="C54" i="18"/>
  <c r="C94" i="18" s="1"/>
  <c r="C134" i="18" s="1"/>
  <c r="C53" i="18"/>
  <c r="C93" i="18" s="1"/>
  <c r="C133" i="18" s="1"/>
  <c r="B53" i="18"/>
  <c r="B93" i="18" s="1"/>
  <c r="B133" i="18" s="1"/>
  <c r="L49" i="18"/>
  <c r="L89" i="18" s="1"/>
  <c r="L129" i="18" s="1"/>
  <c r="L48" i="18"/>
  <c r="L88" i="18" s="1"/>
  <c r="L128" i="18" s="1"/>
  <c r="A48" i="18"/>
  <c r="A88" i="18" s="1"/>
  <c r="A128" i="18" s="1"/>
  <c r="L46" i="18"/>
  <c r="L86" i="18" s="1"/>
  <c r="L126" i="18" s="1"/>
  <c r="C46" i="18"/>
  <c r="C86" i="18" s="1"/>
  <c r="C126" i="18" s="1"/>
  <c r="M42" i="18"/>
  <c r="M82" i="18" s="1"/>
  <c r="M122" i="18" s="1"/>
  <c r="K35" i="18"/>
  <c r="H35" i="18"/>
  <c r="L47" i="18"/>
  <c r="L87" i="18" s="1"/>
  <c r="L127" i="18" s="1"/>
  <c r="M78" i="17"/>
  <c r="M118" i="17" s="1"/>
  <c r="M158" i="17" s="1"/>
  <c r="D78" i="17"/>
  <c r="D118" i="17" s="1"/>
  <c r="D158" i="17" s="1"/>
  <c r="M77" i="17"/>
  <c r="M117" i="17" s="1"/>
  <c r="M157" i="17" s="1"/>
  <c r="D77" i="17"/>
  <c r="D117" i="17" s="1"/>
  <c r="D157" i="17" s="1"/>
  <c r="P74" i="17"/>
  <c r="P114" i="17" s="1"/>
  <c r="P154" i="17" s="1"/>
  <c r="M74" i="17"/>
  <c r="M114" i="17" s="1"/>
  <c r="M154" i="17" s="1"/>
  <c r="K74" i="17"/>
  <c r="K114" i="17" s="1"/>
  <c r="K154" i="17" s="1"/>
  <c r="H74" i="17"/>
  <c r="H114" i="17" s="1"/>
  <c r="H154" i="17" s="1"/>
  <c r="B74" i="17"/>
  <c r="B114" i="17" s="1"/>
  <c r="B154" i="17" s="1"/>
  <c r="A74" i="17"/>
  <c r="A114" i="17" s="1"/>
  <c r="A154" i="17" s="1"/>
  <c r="P73" i="17"/>
  <c r="P113" i="17" s="1"/>
  <c r="P153" i="17" s="1"/>
  <c r="M73" i="17"/>
  <c r="M113" i="17" s="1"/>
  <c r="M153" i="17" s="1"/>
  <c r="K73" i="17"/>
  <c r="K113" i="17" s="1"/>
  <c r="K153" i="17" s="1"/>
  <c r="H73" i="17"/>
  <c r="H113" i="17" s="1"/>
  <c r="H153" i="17" s="1"/>
  <c r="B73" i="17"/>
  <c r="B113" i="17" s="1"/>
  <c r="B153" i="17" s="1"/>
  <c r="A73" i="17"/>
  <c r="A113" i="17" s="1"/>
  <c r="A153" i="17" s="1"/>
  <c r="P72" i="17"/>
  <c r="P112" i="17" s="1"/>
  <c r="P152" i="17" s="1"/>
  <c r="M72" i="17"/>
  <c r="M112" i="17" s="1"/>
  <c r="M152" i="17" s="1"/>
  <c r="K72" i="17"/>
  <c r="K112" i="17" s="1"/>
  <c r="K152" i="17" s="1"/>
  <c r="H72" i="17"/>
  <c r="H112" i="17" s="1"/>
  <c r="H152" i="17" s="1"/>
  <c r="B72" i="17"/>
  <c r="B112" i="17" s="1"/>
  <c r="B152" i="17" s="1"/>
  <c r="A72" i="17"/>
  <c r="A112" i="17" s="1"/>
  <c r="A152" i="17" s="1"/>
  <c r="P71" i="17"/>
  <c r="P111" i="17" s="1"/>
  <c r="P151" i="17" s="1"/>
  <c r="M71" i="17"/>
  <c r="M111" i="17" s="1"/>
  <c r="M151" i="17" s="1"/>
  <c r="K71" i="17"/>
  <c r="K111" i="17" s="1"/>
  <c r="K151" i="17" s="1"/>
  <c r="H71" i="17"/>
  <c r="H111" i="17" s="1"/>
  <c r="H151" i="17" s="1"/>
  <c r="B71" i="17"/>
  <c r="B111" i="17" s="1"/>
  <c r="B151" i="17" s="1"/>
  <c r="A71" i="17"/>
  <c r="A111" i="17" s="1"/>
  <c r="A151" i="17" s="1"/>
  <c r="P70" i="17"/>
  <c r="P110" i="17" s="1"/>
  <c r="P150" i="17" s="1"/>
  <c r="M70" i="17"/>
  <c r="M110" i="17" s="1"/>
  <c r="M150" i="17" s="1"/>
  <c r="K70" i="17"/>
  <c r="K110" i="17" s="1"/>
  <c r="K150" i="17" s="1"/>
  <c r="H70" i="17"/>
  <c r="H110" i="17" s="1"/>
  <c r="H150" i="17" s="1"/>
  <c r="B70" i="17"/>
  <c r="B110" i="17" s="1"/>
  <c r="B150" i="17" s="1"/>
  <c r="A70" i="17"/>
  <c r="A110" i="17" s="1"/>
  <c r="A150" i="17" s="1"/>
  <c r="P69" i="17"/>
  <c r="P109" i="17" s="1"/>
  <c r="P149" i="17" s="1"/>
  <c r="M69" i="17"/>
  <c r="M109" i="17" s="1"/>
  <c r="M149" i="17" s="1"/>
  <c r="K69" i="17"/>
  <c r="K109" i="17" s="1"/>
  <c r="K149" i="17" s="1"/>
  <c r="H69" i="17"/>
  <c r="H109" i="17" s="1"/>
  <c r="H149" i="17" s="1"/>
  <c r="B69" i="17"/>
  <c r="B109" i="17" s="1"/>
  <c r="B149" i="17" s="1"/>
  <c r="A69" i="17"/>
  <c r="A109" i="17" s="1"/>
  <c r="A149" i="17" s="1"/>
  <c r="P68" i="17"/>
  <c r="P108" i="17" s="1"/>
  <c r="P148" i="17" s="1"/>
  <c r="M68" i="17"/>
  <c r="M108" i="17" s="1"/>
  <c r="M148" i="17" s="1"/>
  <c r="K68" i="17"/>
  <c r="K108" i="17" s="1"/>
  <c r="K148" i="17" s="1"/>
  <c r="H68" i="17"/>
  <c r="H108" i="17" s="1"/>
  <c r="H148" i="17" s="1"/>
  <c r="B68" i="17"/>
  <c r="B108" i="17" s="1"/>
  <c r="B148" i="17" s="1"/>
  <c r="A68" i="17"/>
  <c r="A108" i="17" s="1"/>
  <c r="A148" i="17" s="1"/>
  <c r="P67" i="17"/>
  <c r="P107" i="17" s="1"/>
  <c r="P147" i="17" s="1"/>
  <c r="M67" i="17"/>
  <c r="M107" i="17" s="1"/>
  <c r="M147" i="17" s="1"/>
  <c r="K67" i="17"/>
  <c r="K107" i="17" s="1"/>
  <c r="K147" i="17" s="1"/>
  <c r="H67" i="17"/>
  <c r="H107" i="17" s="1"/>
  <c r="H147" i="17" s="1"/>
  <c r="B67" i="17"/>
  <c r="B107" i="17" s="1"/>
  <c r="B147" i="17" s="1"/>
  <c r="A67" i="17"/>
  <c r="A107" i="17" s="1"/>
  <c r="A147" i="17" s="1"/>
  <c r="P66" i="17"/>
  <c r="P106" i="17" s="1"/>
  <c r="P146" i="17" s="1"/>
  <c r="M66" i="17"/>
  <c r="M106" i="17" s="1"/>
  <c r="M146" i="17" s="1"/>
  <c r="K66" i="17"/>
  <c r="K106" i="17" s="1"/>
  <c r="K146" i="17" s="1"/>
  <c r="H66" i="17"/>
  <c r="H106" i="17" s="1"/>
  <c r="H146" i="17" s="1"/>
  <c r="B66" i="17"/>
  <c r="B106" i="17" s="1"/>
  <c r="B146" i="17" s="1"/>
  <c r="A66" i="17"/>
  <c r="A106" i="17" s="1"/>
  <c r="A146" i="17" s="1"/>
  <c r="P65" i="17"/>
  <c r="P105" i="17" s="1"/>
  <c r="P145" i="17" s="1"/>
  <c r="M65" i="17"/>
  <c r="M105" i="17" s="1"/>
  <c r="M145" i="17" s="1"/>
  <c r="K65" i="17"/>
  <c r="K105" i="17" s="1"/>
  <c r="K145" i="17" s="1"/>
  <c r="H65" i="17"/>
  <c r="H105" i="17" s="1"/>
  <c r="H145" i="17" s="1"/>
  <c r="B65" i="17"/>
  <c r="B105" i="17" s="1"/>
  <c r="B145" i="17" s="1"/>
  <c r="A65" i="17"/>
  <c r="A105" i="17" s="1"/>
  <c r="A145" i="17" s="1"/>
  <c r="P64" i="17"/>
  <c r="P104" i="17" s="1"/>
  <c r="P144" i="17" s="1"/>
  <c r="M64" i="17"/>
  <c r="M104" i="17" s="1"/>
  <c r="M144" i="17" s="1"/>
  <c r="K64" i="17"/>
  <c r="K104" i="17" s="1"/>
  <c r="K144" i="17" s="1"/>
  <c r="H64" i="17"/>
  <c r="H104" i="17" s="1"/>
  <c r="H144" i="17" s="1"/>
  <c r="B64" i="17"/>
  <c r="B104" i="17" s="1"/>
  <c r="B144" i="17" s="1"/>
  <c r="A64" i="17"/>
  <c r="A104" i="17" s="1"/>
  <c r="A144" i="17" s="1"/>
  <c r="P63" i="17"/>
  <c r="P103" i="17" s="1"/>
  <c r="P143" i="17" s="1"/>
  <c r="M63" i="17"/>
  <c r="M103" i="17" s="1"/>
  <c r="M143" i="17" s="1"/>
  <c r="K63" i="17"/>
  <c r="K103" i="17" s="1"/>
  <c r="K143" i="17" s="1"/>
  <c r="H63" i="17"/>
  <c r="H103" i="17" s="1"/>
  <c r="H143" i="17" s="1"/>
  <c r="B63" i="17"/>
  <c r="B103" i="17" s="1"/>
  <c r="B143" i="17" s="1"/>
  <c r="A63" i="17"/>
  <c r="A103" i="17" s="1"/>
  <c r="A143" i="17" s="1"/>
  <c r="P62" i="17"/>
  <c r="P102" i="17" s="1"/>
  <c r="P142" i="17" s="1"/>
  <c r="M62" i="17"/>
  <c r="M102" i="17" s="1"/>
  <c r="M142" i="17" s="1"/>
  <c r="K62" i="17"/>
  <c r="K102" i="17" s="1"/>
  <c r="K142" i="17" s="1"/>
  <c r="H62" i="17"/>
  <c r="H102" i="17" s="1"/>
  <c r="H142" i="17" s="1"/>
  <c r="B62" i="17"/>
  <c r="B102" i="17" s="1"/>
  <c r="B142" i="17" s="1"/>
  <c r="A62" i="17"/>
  <c r="A102" i="17" s="1"/>
  <c r="A142" i="17" s="1"/>
  <c r="P61" i="17"/>
  <c r="P101" i="17" s="1"/>
  <c r="P141" i="17" s="1"/>
  <c r="M61" i="17"/>
  <c r="M101" i="17" s="1"/>
  <c r="M141" i="17" s="1"/>
  <c r="K61" i="17"/>
  <c r="K101" i="17" s="1"/>
  <c r="K141" i="17" s="1"/>
  <c r="H61" i="17"/>
  <c r="H101" i="17" s="1"/>
  <c r="H141" i="17" s="1"/>
  <c r="B61" i="17"/>
  <c r="B101" i="17" s="1"/>
  <c r="B141" i="17" s="1"/>
  <c r="A61" i="17"/>
  <c r="A101" i="17" s="1"/>
  <c r="A141" i="17" s="1"/>
  <c r="P60" i="17"/>
  <c r="P100" i="17" s="1"/>
  <c r="P140" i="17" s="1"/>
  <c r="M60" i="17"/>
  <c r="M100" i="17" s="1"/>
  <c r="M140" i="17" s="1"/>
  <c r="K60" i="17"/>
  <c r="K100" i="17" s="1"/>
  <c r="K140" i="17" s="1"/>
  <c r="H60" i="17"/>
  <c r="H100" i="17" s="1"/>
  <c r="H140" i="17" s="1"/>
  <c r="B60" i="17"/>
  <c r="B100" i="17" s="1"/>
  <c r="B140" i="17" s="1"/>
  <c r="A60" i="17"/>
  <c r="A100" i="17" s="1"/>
  <c r="A140" i="17" s="1"/>
  <c r="P59" i="17"/>
  <c r="P99" i="17" s="1"/>
  <c r="P139" i="17" s="1"/>
  <c r="M59" i="17"/>
  <c r="M99" i="17" s="1"/>
  <c r="M139" i="17" s="1"/>
  <c r="K59" i="17"/>
  <c r="K99" i="17" s="1"/>
  <c r="K139" i="17" s="1"/>
  <c r="H59" i="17"/>
  <c r="H99" i="17" s="1"/>
  <c r="H139" i="17" s="1"/>
  <c r="B59" i="17"/>
  <c r="B99" i="17" s="1"/>
  <c r="B139" i="17" s="1"/>
  <c r="A59" i="17"/>
  <c r="A99" i="17" s="1"/>
  <c r="A139" i="17" s="1"/>
  <c r="P58" i="17"/>
  <c r="P98" i="17" s="1"/>
  <c r="P138" i="17" s="1"/>
  <c r="M58" i="17"/>
  <c r="M98" i="17" s="1"/>
  <c r="M138" i="17" s="1"/>
  <c r="K58" i="17"/>
  <c r="K98" i="17" s="1"/>
  <c r="K138" i="17" s="1"/>
  <c r="H58" i="17"/>
  <c r="H98" i="17" s="1"/>
  <c r="H138" i="17" s="1"/>
  <c r="B58" i="17"/>
  <c r="B98" i="17" s="1"/>
  <c r="B138" i="17" s="1"/>
  <c r="A58" i="17"/>
  <c r="A98" i="17" s="1"/>
  <c r="A138" i="17" s="1"/>
  <c r="P57" i="17"/>
  <c r="P97" i="17" s="1"/>
  <c r="P137" i="17" s="1"/>
  <c r="M57" i="17"/>
  <c r="M97" i="17" s="1"/>
  <c r="M137" i="17" s="1"/>
  <c r="K57" i="17"/>
  <c r="K97" i="17" s="1"/>
  <c r="K137" i="17" s="1"/>
  <c r="H57" i="17"/>
  <c r="H97" i="17" s="1"/>
  <c r="H137" i="17" s="1"/>
  <c r="B57" i="17"/>
  <c r="B97" i="17" s="1"/>
  <c r="B137" i="17" s="1"/>
  <c r="A57" i="17"/>
  <c r="A97" i="17" s="1"/>
  <c r="A137" i="17" s="1"/>
  <c r="P56" i="17"/>
  <c r="P96" i="17" s="1"/>
  <c r="P136" i="17" s="1"/>
  <c r="M56" i="17"/>
  <c r="M96" i="17" s="1"/>
  <c r="M136" i="17" s="1"/>
  <c r="K56" i="17"/>
  <c r="K96" i="17" s="1"/>
  <c r="K136" i="17" s="1"/>
  <c r="H56" i="17"/>
  <c r="H96" i="17" s="1"/>
  <c r="H136" i="17" s="1"/>
  <c r="B56" i="17"/>
  <c r="B96" i="17" s="1"/>
  <c r="B136" i="17" s="1"/>
  <c r="A56" i="17"/>
  <c r="A96" i="17" s="1"/>
  <c r="A136" i="17" s="1"/>
  <c r="P55" i="17"/>
  <c r="P95" i="17" s="1"/>
  <c r="P135" i="17" s="1"/>
  <c r="M55" i="17"/>
  <c r="M95" i="17" s="1"/>
  <c r="M135" i="17" s="1"/>
  <c r="K55" i="17"/>
  <c r="K95" i="17" s="1"/>
  <c r="H55" i="17"/>
  <c r="H95" i="17" s="1"/>
  <c r="B55" i="17"/>
  <c r="B95" i="17" s="1"/>
  <c r="B135" i="17" s="1"/>
  <c r="A55" i="17"/>
  <c r="A95" i="17" s="1"/>
  <c r="A135" i="17" s="1"/>
  <c r="C54" i="17"/>
  <c r="C94" i="17" s="1"/>
  <c r="C134" i="17" s="1"/>
  <c r="C53" i="17"/>
  <c r="C93" i="17" s="1"/>
  <c r="C133" i="17" s="1"/>
  <c r="B53" i="17"/>
  <c r="B93" i="17" s="1"/>
  <c r="B133" i="17" s="1"/>
  <c r="L49" i="17"/>
  <c r="L89" i="17" s="1"/>
  <c r="L129" i="17" s="1"/>
  <c r="L48" i="17"/>
  <c r="L88" i="17" s="1"/>
  <c r="L128" i="17" s="1"/>
  <c r="A48" i="17"/>
  <c r="A88" i="17" s="1"/>
  <c r="A128" i="17" s="1"/>
  <c r="L46" i="17"/>
  <c r="L86" i="17" s="1"/>
  <c r="L126" i="17" s="1"/>
  <c r="C46" i="17"/>
  <c r="C86" i="17" s="1"/>
  <c r="C126" i="17" s="1"/>
  <c r="M42" i="17"/>
  <c r="M82" i="17" s="1"/>
  <c r="M122" i="17" s="1"/>
  <c r="K35" i="17"/>
  <c r="H35" i="17"/>
  <c r="L47" i="17"/>
  <c r="L87" i="17" s="1"/>
  <c r="L127" i="17" s="1"/>
  <c r="M78" i="16"/>
  <c r="M118" i="16" s="1"/>
  <c r="M158" i="16" s="1"/>
  <c r="D78" i="16"/>
  <c r="D118" i="16" s="1"/>
  <c r="D158" i="16" s="1"/>
  <c r="M77" i="16"/>
  <c r="M117" i="16" s="1"/>
  <c r="M157" i="16" s="1"/>
  <c r="D77" i="16"/>
  <c r="D117" i="16" s="1"/>
  <c r="D157" i="16" s="1"/>
  <c r="P74" i="16"/>
  <c r="P114" i="16" s="1"/>
  <c r="P154" i="16" s="1"/>
  <c r="M74" i="16"/>
  <c r="M114" i="16" s="1"/>
  <c r="M154" i="16" s="1"/>
  <c r="K74" i="16"/>
  <c r="K114" i="16" s="1"/>
  <c r="K154" i="16" s="1"/>
  <c r="H74" i="16"/>
  <c r="H114" i="16" s="1"/>
  <c r="H154" i="16" s="1"/>
  <c r="B74" i="16"/>
  <c r="B114" i="16" s="1"/>
  <c r="B154" i="16" s="1"/>
  <c r="A74" i="16"/>
  <c r="A114" i="16" s="1"/>
  <c r="A154" i="16" s="1"/>
  <c r="P73" i="16"/>
  <c r="P113" i="16" s="1"/>
  <c r="P153" i="16" s="1"/>
  <c r="M73" i="16"/>
  <c r="M113" i="16" s="1"/>
  <c r="M153" i="16" s="1"/>
  <c r="K73" i="16"/>
  <c r="K113" i="16" s="1"/>
  <c r="K153" i="16" s="1"/>
  <c r="H73" i="16"/>
  <c r="H113" i="16" s="1"/>
  <c r="H153" i="16" s="1"/>
  <c r="B73" i="16"/>
  <c r="B113" i="16" s="1"/>
  <c r="B153" i="16" s="1"/>
  <c r="A73" i="16"/>
  <c r="A113" i="16" s="1"/>
  <c r="A153" i="16" s="1"/>
  <c r="P72" i="16"/>
  <c r="P112" i="16" s="1"/>
  <c r="P152" i="16" s="1"/>
  <c r="M72" i="16"/>
  <c r="M112" i="16" s="1"/>
  <c r="M152" i="16" s="1"/>
  <c r="K72" i="16"/>
  <c r="K112" i="16" s="1"/>
  <c r="K152" i="16" s="1"/>
  <c r="H72" i="16"/>
  <c r="H112" i="16" s="1"/>
  <c r="H152" i="16" s="1"/>
  <c r="B72" i="16"/>
  <c r="B112" i="16" s="1"/>
  <c r="B152" i="16" s="1"/>
  <c r="A72" i="16"/>
  <c r="A112" i="16" s="1"/>
  <c r="A152" i="16" s="1"/>
  <c r="P71" i="16"/>
  <c r="P111" i="16" s="1"/>
  <c r="P151" i="16" s="1"/>
  <c r="M71" i="16"/>
  <c r="M111" i="16" s="1"/>
  <c r="M151" i="16" s="1"/>
  <c r="K71" i="16"/>
  <c r="K111" i="16" s="1"/>
  <c r="K151" i="16" s="1"/>
  <c r="H71" i="16"/>
  <c r="H111" i="16" s="1"/>
  <c r="H151" i="16" s="1"/>
  <c r="B71" i="16"/>
  <c r="B111" i="16" s="1"/>
  <c r="B151" i="16" s="1"/>
  <c r="A71" i="16"/>
  <c r="A111" i="16" s="1"/>
  <c r="A151" i="16" s="1"/>
  <c r="P70" i="16"/>
  <c r="P110" i="16" s="1"/>
  <c r="P150" i="16" s="1"/>
  <c r="M70" i="16"/>
  <c r="M110" i="16" s="1"/>
  <c r="M150" i="16" s="1"/>
  <c r="K70" i="16"/>
  <c r="K110" i="16" s="1"/>
  <c r="K150" i="16" s="1"/>
  <c r="H70" i="16"/>
  <c r="H110" i="16" s="1"/>
  <c r="H150" i="16" s="1"/>
  <c r="B70" i="16"/>
  <c r="B110" i="16" s="1"/>
  <c r="B150" i="16" s="1"/>
  <c r="A70" i="16"/>
  <c r="A110" i="16" s="1"/>
  <c r="A150" i="16" s="1"/>
  <c r="P69" i="16"/>
  <c r="P109" i="16" s="1"/>
  <c r="P149" i="16" s="1"/>
  <c r="M69" i="16"/>
  <c r="M109" i="16" s="1"/>
  <c r="M149" i="16" s="1"/>
  <c r="K69" i="16"/>
  <c r="K109" i="16" s="1"/>
  <c r="K149" i="16" s="1"/>
  <c r="H69" i="16"/>
  <c r="H109" i="16" s="1"/>
  <c r="H149" i="16" s="1"/>
  <c r="B69" i="16"/>
  <c r="B109" i="16" s="1"/>
  <c r="B149" i="16" s="1"/>
  <c r="A69" i="16"/>
  <c r="A109" i="16" s="1"/>
  <c r="A149" i="16" s="1"/>
  <c r="P68" i="16"/>
  <c r="P108" i="16" s="1"/>
  <c r="P148" i="16" s="1"/>
  <c r="M68" i="16"/>
  <c r="M108" i="16" s="1"/>
  <c r="M148" i="16" s="1"/>
  <c r="K68" i="16"/>
  <c r="K108" i="16" s="1"/>
  <c r="K148" i="16" s="1"/>
  <c r="H68" i="16"/>
  <c r="H108" i="16" s="1"/>
  <c r="H148" i="16" s="1"/>
  <c r="B68" i="16"/>
  <c r="B108" i="16" s="1"/>
  <c r="B148" i="16" s="1"/>
  <c r="A68" i="16"/>
  <c r="A108" i="16" s="1"/>
  <c r="A148" i="16" s="1"/>
  <c r="P67" i="16"/>
  <c r="P107" i="16" s="1"/>
  <c r="P147" i="16" s="1"/>
  <c r="M67" i="16"/>
  <c r="M107" i="16" s="1"/>
  <c r="M147" i="16" s="1"/>
  <c r="K67" i="16"/>
  <c r="K107" i="16" s="1"/>
  <c r="K147" i="16" s="1"/>
  <c r="H67" i="16"/>
  <c r="H107" i="16" s="1"/>
  <c r="H147" i="16" s="1"/>
  <c r="B67" i="16"/>
  <c r="B107" i="16" s="1"/>
  <c r="B147" i="16" s="1"/>
  <c r="A67" i="16"/>
  <c r="A107" i="16" s="1"/>
  <c r="A147" i="16" s="1"/>
  <c r="P66" i="16"/>
  <c r="P106" i="16" s="1"/>
  <c r="P146" i="16" s="1"/>
  <c r="M66" i="16"/>
  <c r="M106" i="16" s="1"/>
  <c r="M146" i="16" s="1"/>
  <c r="K66" i="16"/>
  <c r="K106" i="16" s="1"/>
  <c r="K146" i="16" s="1"/>
  <c r="H66" i="16"/>
  <c r="H106" i="16" s="1"/>
  <c r="H146" i="16" s="1"/>
  <c r="B66" i="16"/>
  <c r="B106" i="16" s="1"/>
  <c r="B146" i="16" s="1"/>
  <c r="A66" i="16"/>
  <c r="A106" i="16" s="1"/>
  <c r="A146" i="16" s="1"/>
  <c r="P65" i="16"/>
  <c r="P105" i="16" s="1"/>
  <c r="P145" i="16" s="1"/>
  <c r="M65" i="16"/>
  <c r="M105" i="16" s="1"/>
  <c r="M145" i="16" s="1"/>
  <c r="K65" i="16"/>
  <c r="K105" i="16" s="1"/>
  <c r="K145" i="16" s="1"/>
  <c r="H65" i="16"/>
  <c r="H105" i="16" s="1"/>
  <c r="H145" i="16" s="1"/>
  <c r="B65" i="16"/>
  <c r="B105" i="16" s="1"/>
  <c r="B145" i="16" s="1"/>
  <c r="A65" i="16"/>
  <c r="A105" i="16" s="1"/>
  <c r="A145" i="16" s="1"/>
  <c r="P64" i="16"/>
  <c r="P104" i="16" s="1"/>
  <c r="P144" i="16" s="1"/>
  <c r="M64" i="16"/>
  <c r="M104" i="16" s="1"/>
  <c r="M144" i="16" s="1"/>
  <c r="K64" i="16"/>
  <c r="K104" i="16" s="1"/>
  <c r="K144" i="16" s="1"/>
  <c r="H64" i="16"/>
  <c r="H104" i="16" s="1"/>
  <c r="H144" i="16" s="1"/>
  <c r="B64" i="16"/>
  <c r="B104" i="16" s="1"/>
  <c r="B144" i="16" s="1"/>
  <c r="A64" i="16"/>
  <c r="A104" i="16" s="1"/>
  <c r="A144" i="16" s="1"/>
  <c r="P63" i="16"/>
  <c r="P103" i="16" s="1"/>
  <c r="P143" i="16" s="1"/>
  <c r="M63" i="16"/>
  <c r="M103" i="16" s="1"/>
  <c r="M143" i="16" s="1"/>
  <c r="K63" i="16"/>
  <c r="K103" i="16" s="1"/>
  <c r="K143" i="16" s="1"/>
  <c r="H63" i="16"/>
  <c r="H103" i="16" s="1"/>
  <c r="H143" i="16" s="1"/>
  <c r="B63" i="16"/>
  <c r="B103" i="16" s="1"/>
  <c r="B143" i="16" s="1"/>
  <c r="A63" i="16"/>
  <c r="A103" i="16" s="1"/>
  <c r="A143" i="16" s="1"/>
  <c r="P62" i="16"/>
  <c r="P102" i="16" s="1"/>
  <c r="P142" i="16" s="1"/>
  <c r="M62" i="16"/>
  <c r="M102" i="16" s="1"/>
  <c r="M142" i="16" s="1"/>
  <c r="K62" i="16"/>
  <c r="K102" i="16" s="1"/>
  <c r="K142" i="16" s="1"/>
  <c r="H62" i="16"/>
  <c r="H102" i="16" s="1"/>
  <c r="H142" i="16" s="1"/>
  <c r="B62" i="16"/>
  <c r="B102" i="16" s="1"/>
  <c r="B142" i="16" s="1"/>
  <c r="A62" i="16"/>
  <c r="A102" i="16" s="1"/>
  <c r="A142" i="16" s="1"/>
  <c r="P61" i="16"/>
  <c r="P101" i="16" s="1"/>
  <c r="P141" i="16" s="1"/>
  <c r="M61" i="16"/>
  <c r="M101" i="16" s="1"/>
  <c r="M141" i="16" s="1"/>
  <c r="K61" i="16"/>
  <c r="K101" i="16" s="1"/>
  <c r="K141" i="16" s="1"/>
  <c r="H61" i="16"/>
  <c r="H101" i="16" s="1"/>
  <c r="H141" i="16" s="1"/>
  <c r="B61" i="16"/>
  <c r="B101" i="16" s="1"/>
  <c r="B141" i="16" s="1"/>
  <c r="A61" i="16"/>
  <c r="A101" i="16" s="1"/>
  <c r="A141" i="16" s="1"/>
  <c r="P60" i="16"/>
  <c r="P100" i="16" s="1"/>
  <c r="P140" i="16" s="1"/>
  <c r="M60" i="16"/>
  <c r="M100" i="16" s="1"/>
  <c r="M140" i="16" s="1"/>
  <c r="K60" i="16"/>
  <c r="K100" i="16" s="1"/>
  <c r="K140" i="16" s="1"/>
  <c r="H60" i="16"/>
  <c r="H100" i="16" s="1"/>
  <c r="H140" i="16" s="1"/>
  <c r="B60" i="16"/>
  <c r="B100" i="16" s="1"/>
  <c r="B140" i="16" s="1"/>
  <c r="A60" i="16"/>
  <c r="A100" i="16" s="1"/>
  <c r="A140" i="16" s="1"/>
  <c r="P59" i="16"/>
  <c r="P99" i="16" s="1"/>
  <c r="P139" i="16" s="1"/>
  <c r="M59" i="16"/>
  <c r="M99" i="16" s="1"/>
  <c r="M139" i="16" s="1"/>
  <c r="K59" i="16"/>
  <c r="K99" i="16" s="1"/>
  <c r="K139" i="16" s="1"/>
  <c r="H59" i="16"/>
  <c r="H99" i="16" s="1"/>
  <c r="H139" i="16" s="1"/>
  <c r="B59" i="16"/>
  <c r="B99" i="16" s="1"/>
  <c r="B139" i="16" s="1"/>
  <c r="A59" i="16"/>
  <c r="A99" i="16" s="1"/>
  <c r="A139" i="16" s="1"/>
  <c r="P58" i="16"/>
  <c r="P98" i="16" s="1"/>
  <c r="P138" i="16" s="1"/>
  <c r="M58" i="16"/>
  <c r="M98" i="16" s="1"/>
  <c r="M138" i="16" s="1"/>
  <c r="K58" i="16"/>
  <c r="K98" i="16" s="1"/>
  <c r="K138" i="16" s="1"/>
  <c r="H58" i="16"/>
  <c r="H98" i="16" s="1"/>
  <c r="H138" i="16" s="1"/>
  <c r="B58" i="16"/>
  <c r="B98" i="16" s="1"/>
  <c r="B138" i="16" s="1"/>
  <c r="A58" i="16"/>
  <c r="A98" i="16" s="1"/>
  <c r="A138" i="16" s="1"/>
  <c r="P57" i="16"/>
  <c r="P97" i="16" s="1"/>
  <c r="P137" i="16" s="1"/>
  <c r="M57" i="16"/>
  <c r="M97" i="16" s="1"/>
  <c r="M137" i="16" s="1"/>
  <c r="K57" i="16"/>
  <c r="K97" i="16" s="1"/>
  <c r="K137" i="16" s="1"/>
  <c r="H57" i="16"/>
  <c r="H97" i="16" s="1"/>
  <c r="H137" i="16" s="1"/>
  <c r="B57" i="16"/>
  <c r="B97" i="16" s="1"/>
  <c r="B137" i="16" s="1"/>
  <c r="A57" i="16"/>
  <c r="A97" i="16" s="1"/>
  <c r="A137" i="16" s="1"/>
  <c r="P56" i="16"/>
  <c r="P96" i="16" s="1"/>
  <c r="P136" i="16" s="1"/>
  <c r="M56" i="16"/>
  <c r="M96" i="16" s="1"/>
  <c r="M136" i="16" s="1"/>
  <c r="K56" i="16"/>
  <c r="K96" i="16" s="1"/>
  <c r="K136" i="16" s="1"/>
  <c r="H56" i="16"/>
  <c r="H96" i="16" s="1"/>
  <c r="H136" i="16" s="1"/>
  <c r="B56" i="16"/>
  <c r="B96" i="16" s="1"/>
  <c r="B136" i="16" s="1"/>
  <c r="A56" i="16"/>
  <c r="A96" i="16" s="1"/>
  <c r="A136" i="16" s="1"/>
  <c r="P55" i="16"/>
  <c r="P95" i="16" s="1"/>
  <c r="P135" i="16" s="1"/>
  <c r="M55" i="16"/>
  <c r="M95" i="16" s="1"/>
  <c r="M135" i="16" s="1"/>
  <c r="K55" i="16"/>
  <c r="K95" i="16" s="1"/>
  <c r="H55" i="16"/>
  <c r="H95" i="16" s="1"/>
  <c r="B55" i="16"/>
  <c r="B95" i="16" s="1"/>
  <c r="B135" i="16" s="1"/>
  <c r="A55" i="16"/>
  <c r="A95" i="16" s="1"/>
  <c r="A135" i="16" s="1"/>
  <c r="C54" i="16"/>
  <c r="C94" i="16" s="1"/>
  <c r="C134" i="16" s="1"/>
  <c r="C53" i="16"/>
  <c r="C93" i="16" s="1"/>
  <c r="C133" i="16" s="1"/>
  <c r="B53" i="16"/>
  <c r="B93" i="16" s="1"/>
  <c r="B133" i="16" s="1"/>
  <c r="L49" i="16"/>
  <c r="L89" i="16" s="1"/>
  <c r="L129" i="16" s="1"/>
  <c r="L48" i="16"/>
  <c r="L88" i="16" s="1"/>
  <c r="L128" i="16" s="1"/>
  <c r="A48" i="16"/>
  <c r="A88" i="16" s="1"/>
  <c r="A128" i="16" s="1"/>
  <c r="L46" i="16"/>
  <c r="L86" i="16" s="1"/>
  <c r="L126" i="16" s="1"/>
  <c r="C46" i="16"/>
  <c r="C86" i="16" s="1"/>
  <c r="C126" i="16" s="1"/>
  <c r="M42" i="16"/>
  <c r="M82" i="16" s="1"/>
  <c r="M122" i="16" s="1"/>
  <c r="K35" i="16"/>
  <c r="H35" i="16"/>
  <c r="L47" i="16"/>
  <c r="L87" i="16" s="1"/>
  <c r="L127" i="16" s="1"/>
  <c r="M78" i="15"/>
  <c r="M118" i="15" s="1"/>
  <c r="M158" i="15" s="1"/>
  <c r="D78" i="15"/>
  <c r="D118" i="15" s="1"/>
  <c r="D158" i="15" s="1"/>
  <c r="M77" i="15"/>
  <c r="M117" i="15" s="1"/>
  <c r="M157" i="15" s="1"/>
  <c r="D77" i="15"/>
  <c r="D117" i="15" s="1"/>
  <c r="D157" i="15" s="1"/>
  <c r="P74" i="15"/>
  <c r="P114" i="15" s="1"/>
  <c r="P154" i="15" s="1"/>
  <c r="M74" i="15"/>
  <c r="M114" i="15" s="1"/>
  <c r="M154" i="15" s="1"/>
  <c r="K74" i="15"/>
  <c r="K114" i="15" s="1"/>
  <c r="K154" i="15" s="1"/>
  <c r="H74" i="15"/>
  <c r="H114" i="15" s="1"/>
  <c r="H154" i="15" s="1"/>
  <c r="B74" i="15"/>
  <c r="B114" i="15" s="1"/>
  <c r="B154" i="15" s="1"/>
  <c r="A74" i="15"/>
  <c r="A114" i="15" s="1"/>
  <c r="A154" i="15" s="1"/>
  <c r="P73" i="15"/>
  <c r="P113" i="15" s="1"/>
  <c r="P153" i="15" s="1"/>
  <c r="M73" i="15"/>
  <c r="M113" i="15" s="1"/>
  <c r="M153" i="15" s="1"/>
  <c r="K73" i="15"/>
  <c r="K113" i="15" s="1"/>
  <c r="K153" i="15" s="1"/>
  <c r="H73" i="15"/>
  <c r="H113" i="15" s="1"/>
  <c r="H153" i="15" s="1"/>
  <c r="B73" i="15"/>
  <c r="B113" i="15" s="1"/>
  <c r="B153" i="15" s="1"/>
  <c r="A73" i="15"/>
  <c r="A113" i="15" s="1"/>
  <c r="A153" i="15" s="1"/>
  <c r="P72" i="15"/>
  <c r="P112" i="15" s="1"/>
  <c r="P152" i="15" s="1"/>
  <c r="M72" i="15"/>
  <c r="M112" i="15" s="1"/>
  <c r="M152" i="15" s="1"/>
  <c r="K72" i="15"/>
  <c r="K112" i="15" s="1"/>
  <c r="K152" i="15" s="1"/>
  <c r="H72" i="15"/>
  <c r="H112" i="15" s="1"/>
  <c r="H152" i="15" s="1"/>
  <c r="B72" i="15"/>
  <c r="B112" i="15" s="1"/>
  <c r="B152" i="15" s="1"/>
  <c r="A72" i="15"/>
  <c r="A112" i="15" s="1"/>
  <c r="A152" i="15" s="1"/>
  <c r="P71" i="15"/>
  <c r="P111" i="15" s="1"/>
  <c r="P151" i="15" s="1"/>
  <c r="M71" i="15"/>
  <c r="M111" i="15" s="1"/>
  <c r="M151" i="15" s="1"/>
  <c r="K71" i="15"/>
  <c r="K111" i="15" s="1"/>
  <c r="K151" i="15" s="1"/>
  <c r="H71" i="15"/>
  <c r="H111" i="15" s="1"/>
  <c r="H151" i="15" s="1"/>
  <c r="B71" i="15"/>
  <c r="B111" i="15" s="1"/>
  <c r="B151" i="15" s="1"/>
  <c r="A71" i="15"/>
  <c r="A111" i="15" s="1"/>
  <c r="A151" i="15" s="1"/>
  <c r="P70" i="15"/>
  <c r="P110" i="15" s="1"/>
  <c r="P150" i="15" s="1"/>
  <c r="M70" i="15"/>
  <c r="M110" i="15" s="1"/>
  <c r="M150" i="15" s="1"/>
  <c r="K70" i="15"/>
  <c r="K110" i="15" s="1"/>
  <c r="K150" i="15" s="1"/>
  <c r="H70" i="15"/>
  <c r="H110" i="15" s="1"/>
  <c r="H150" i="15" s="1"/>
  <c r="B70" i="15"/>
  <c r="B110" i="15" s="1"/>
  <c r="B150" i="15" s="1"/>
  <c r="A70" i="15"/>
  <c r="A110" i="15" s="1"/>
  <c r="A150" i="15" s="1"/>
  <c r="P69" i="15"/>
  <c r="P109" i="15" s="1"/>
  <c r="P149" i="15" s="1"/>
  <c r="M69" i="15"/>
  <c r="M109" i="15" s="1"/>
  <c r="M149" i="15" s="1"/>
  <c r="K69" i="15"/>
  <c r="K109" i="15" s="1"/>
  <c r="K149" i="15" s="1"/>
  <c r="H69" i="15"/>
  <c r="H109" i="15" s="1"/>
  <c r="H149" i="15" s="1"/>
  <c r="B69" i="15"/>
  <c r="B109" i="15" s="1"/>
  <c r="B149" i="15" s="1"/>
  <c r="A69" i="15"/>
  <c r="A109" i="15" s="1"/>
  <c r="A149" i="15" s="1"/>
  <c r="P68" i="15"/>
  <c r="P108" i="15" s="1"/>
  <c r="P148" i="15" s="1"/>
  <c r="M68" i="15"/>
  <c r="M108" i="15" s="1"/>
  <c r="M148" i="15" s="1"/>
  <c r="K68" i="15"/>
  <c r="K108" i="15" s="1"/>
  <c r="K148" i="15" s="1"/>
  <c r="H68" i="15"/>
  <c r="H108" i="15" s="1"/>
  <c r="H148" i="15" s="1"/>
  <c r="B68" i="15"/>
  <c r="B108" i="15" s="1"/>
  <c r="B148" i="15" s="1"/>
  <c r="A68" i="15"/>
  <c r="A108" i="15" s="1"/>
  <c r="A148" i="15" s="1"/>
  <c r="P67" i="15"/>
  <c r="P107" i="15" s="1"/>
  <c r="P147" i="15" s="1"/>
  <c r="M67" i="15"/>
  <c r="M107" i="15" s="1"/>
  <c r="M147" i="15" s="1"/>
  <c r="K67" i="15"/>
  <c r="K107" i="15" s="1"/>
  <c r="K147" i="15" s="1"/>
  <c r="H67" i="15"/>
  <c r="H107" i="15" s="1"/>
  <c r="H147" i="15" s="1"/>
  <c r="B67" i="15"/>
  <c r="B107" i="15" s="1"/>
  <c r="B147" i="15" s="1"/>
  <c r="A67" i="15"/>
  <c r="A107" i="15" s="1"/>
  <c r="A147" i="15" s="1"/>
  <c r="P66" i="15"/>
  <c r="P106" i="15" s="1"/>
  <c r="P146" i="15" s="1"/>
  <c r="M66" i="15"/>
  <c r="M106" i="15" s="1"/>
  <c r="M146" i="15" s="1"/>
  <c r="K66" i="15"/>
  <c r="K106" i="15" s="1"/>
  <c r="K146" i="15" s="1"/>
  <c r="H66" i="15"/>
  <c r="H106" i="15" s="1"/>
  <c r="H146" i="15" s="1"/>
  <c r="B66" i="15"/>
  <c r="B106" i="15" s="1"/>
  <c r="B146" i="15" s="1"/>
  <c r="A66" i="15"/>
  <c r="A106" i="15" s="1"/>
  <c r="A146" i="15" s="1"/>
  <c r="P65" i="15"/>
  <c r="P105" i="15" s="1"/>
  <c r="P145" i="15" s="1"/>
  <c r="M65" i="15"/>
  <c r="M105" i="15" s="1"/>
  <c r="M145" i="15" s="1"/>
  <c r="K65" i="15"/>
  <c r="K105" i="15" s="1"/>
  <c r="K145" i="15" s="1"/>
  <c r="H65" i="15"/>
  <c r="H105" i="15" s="1"/>
  <c r="H145" i="15" s="1"/>
  <c r="B65" i="15"/>
  <c r="B105" i="15" s="1"/>
  <c r="B145" i="15" s="1"/>
  <c r="A65" i="15"/>
  <c r="A105" i="15" s="1"/>
  <c r="A145" i="15" s="1"/>
  <c r="P64" i="15"/>
  <c r="P104" i="15" s="1"/>
  <c r="P144" i="15" s="1"/>
  <c r="M64" i="15"/>
  <c r="M104" i="15" s="1"/>
  <c r="M144" i="15" s="1"/>
  <c r="K64" i="15"/>
  <c r="K104" i="15" s="1"/>
  <c r="K144" i="15" s="1"/>
  <c r="H64" i="15"/>
  <c r="H104" i="15" s="1"/>
  <c r="H144" i="15" s="1"/>
  <c r="B64" i="15"/>
  <c r="B104" i="15" s="1"/>
  <c r="B144" i="15" s="1"/>
  <c r="A64" i="15"/>
  <c r="A104" i="15" s="1"/>
  <c r="A144" i="15" s="1"/>
  <c r="P63" i="15"/>
  <c r="P103" i="15" s="1"/>
  <c r="P143" i="15" s="1"/>
  <c r="M63" i="15"/>
  <c r="M103" i="15" s="1"/>
  <c r="M143" i="15" s="1"/>
  <c r="K63" i="15"/>
  <c r="K103" i="15" s="1"/>
  <c r="K143" i="15" s="1"/>
  <c r="H63" i="15"/>
  <c r="H103" i="15" s="1"/>
  <c r="H143" i="15" s="1"/>
  <c r="B63" i="15"/>
  <c r="B103" i="15" s="1"/>
  <c r="B143" i="15" s="1"/>
  <c r="A63" i="15"/>
  <c r="A103" i="15" s="1"/>
  <c r="A143" i="15" s="1"/>
  <c r="P62" i="15"/>
  <c r="P102" i="15" s="1"/>
  <c r="P142" i="15" s="1"/>
  <c r="M62" i="15"/>
  <c r="M102" i="15" s="1"/>
  <c r="M142" i="15" s="1"/>
  <c r="K62" i="15"/>
  <c r="K102" i="15" s="1"/>
  <c r="K142" i="15" s="1"/>
  <c r="H62" i="15"/>
  <c r="H102" i="15" s="1"/>
  <c r="H142" i="15" s="1"/>
  <c r="B62" i="15"/>
  <c r="B102" i="15" s="1"/>
  <c r="B142" i="15" s="1"/>
  <c r="A62" i="15"/>
  <c r="A102" i="15" s="1"/>
  <c r="A142" i="15" s="1"/>
  <c r="P61" i="15"/>
  <c r="P101" i="15" s="1"/>
  <c r="P141" i="15" s="1"/>
  <c r="M61" i="15"/>
  <c r="M101" i="15" s="1"/>
  <c r="M141" i="15" s="1"/>
  <c r="K61" i="15"/>
  <c r="K101" i="15" s="1"/>
  <c r="K141" i="15" s="1"/>
  <c r="H61" i="15"/>
  <c r="H101" i="15" s="1"/>
  <c r="H141" i="15" s="1"/>
  <c r="B61" i="15"/>
  <c r="B101" i="15" s="1"/>
  <c r="B141" i="15" s="1"/>
  <c r="A61" i="15"/>
  <c r="A101" i="15" s="1"/>
  <c r="A141" i="15" s="1"/>
  <c r="P60" i="15"/>
  <c r="P100" i="15" s="1"/>
  <c r="P140" i="15" s="1"/>
  <c r="M60" i="15"/>
  <c r="M100" i="15" s="1"/>
  <c r="M140" i="15" s="1"/>
  <c r="K60" i="15"/>
  <c r="K100" i="15" s="1"/>
  <c r="K140" i="15" s="1"/>
  <c r="H60" i="15"/>
  <c r="H100" i="15" s="1"/>
  <c r="H140" i="15" s="1"/>
  <c r="B60" i="15"/>
  <c r="B100" i="15" s="1"/>
  <c r="B140" i="15" s="1"/>
  <c r="A60" i="15"/>
  <c r="A100" i="15" s="1"/>
  <c r="A140" i="15" s="1"/>
  <c r="P59" i="15"/>
  <c r="P99" i="15" s="1"/>
  <c r="P139" i="15" s="1"/>
  <c r="M59" i="15"/>
  <c r="M99" i="15" s="1"/>
  <c r="M139" i="15" s="1"/>
  <c r="K59" i="15"/>
  <c r="K99" i="15" s="1"/>
  <c r="K139" i="15" s="1"/>
  <c r="H59" i="15"/>
  <c r="H99" i="15" s="1"/>
  <c r="H139" i="15" s="1"/>
  <c r="B59" i="15"/>
  <c r="B99" i="15" s="1"/>
  <c r="B139" i="15" s="1"/>
  <c r="A59" i="15"/>
  <c r="A99" i="15" s="1"/>
  <c r="A139" i="15" s="1"/>
  <c r="P58" i="15"/>
  <c r="P98" i="15" s="1"/>
  <c r="P138" i="15" s="1"/>
  <c r="M58" i="15"/>
  <c r="M98" i="15" s="1"/>
  <c r="M138" i="15" s="1"/>
  <c r="K58" i="15"/>
  <c r="K98" i="15" s="1"/>
  <c r="K138" i="15" s="1"/>
  <c r="H58" i="15"/>
  <c r="H98" i="15" s="1"/>
  <c r="H138" i="15" s="1"/>
  <c r="B58" i="15"/>
  <c r="B98" i="15" s="1"/>
  <c r="B138" i="15" s="1"/>
  <c r="A58" i="15"/>
  <c r="A98" i="15" s="1"/>
  <c r="A138" i="15" s="1"/>
  <c r="P57" i="15"/>
  <c r="P97" i="15" s="1"/>
  <c r="P137" i="15" s="1"/>
  <c r="M57" i="15"/>
  <c r="M97" i="15" s="1"/>
  <c r="M137" i="15" s="1"/>
  <c r="K57" i="15"/>
  <c r="K97" i="15" s="1"/>
  <c r="K137" i="15" s="1"/>
  <c r="H57" i="15"/>
  <c r="H97" i="15" s="1"/>
  <c r="H137" i="15" s="1"/>
  <c r="B57" i="15"/>
  <c r="B97" i="15" s="1"/>
  <c r="B137" i="15" s="1"/>
  <c r="A57" i="15"/>
  <c r="A97" i="15" s="1"/>
  <c r="A137" i="15" s="1"/>
  <c r="P56" i="15"/>
  <c r="P96" i="15" s="1"/>
  <c r="P136" i="15" s="1"/>
  <c r="M56" i="15"/>
  <c r="M96" i="15" s="1"/>
  <c r="M136" i="15" s="1"/>
  <c r="K56" i="15"/>
  <c r="K96" i="15" s="1"/>
  <c r="K136" i="15" s="1"/>
  <c r="H56" i="15"/>
  <c r="H96" i="15" s="1"/>
  <c r="H136" i="15" s="1"/>
  <c r="B56" i="15"/>
  <c r="B96" i="15" s="1"/>
  <c r="B136" i="15" s="1"/>
  <c r="A56" i="15"/>
  <c r="A96" i="15" s="1"/>
  <c r="A136" i="15" s="1"/>
  <c r="P55" i="15"/>
  <c r="P95" i="15" s="1"/>
  <c r="P135" i="15" s="1"/>
  <c r="M55" i="15"/>
  <c r="M95" i="15" s="1"/>
  <c r="M135" i="15" s="1"/>
  <c r="K55" i="15"/>
  <c r="K95" i="15" s="1"/>
  <c r="H55" i="15"/>
  <c r="H95" i="15" s="1"/>
  <c r="B55" i="15"/>
  <c r="B95" i="15" s="1"/>
  <c r="B135" i="15" s="1"/>
  <c r="A55" i="15"/>
  <c r="A95" i="15" s="1"/>
  <c r="A135" i="15" s="1"/>
  <c r="C54" i="15"/>
  <c r="C94" i="15" s="1"/>
  <c r="C134" i="15" s="1"/>
  <c r="C53" i="15"/>
  <c r="C93" i="15" s="1"/>
  <c r="C133" i="15" s="1"/>
  <c r="B53" i="15"/>
  <c r="B93" i="15" s="1"/>
  <c r="B133" i="15" s="1"/>
  <c r="L49" i="15"/>
  <c r="L89" i="15" s="1"/>
  <c r="L129" i="15" s="1"/>
  <c r="L48" i="15"/>
  <c r="L88" i="15" s="1"/>
  <c r="L128" i="15" s="1"/>
  <c r="A48" i="15"/>
  <c r="A88" i="15" s="1"/>
  <c r="A128" i="15" s="1"/>
  <c r="L46" i="15"/>
  <c r="L86" i="15" s="1"/>
  <c r="L126" i="15" s="1"/>
  <c r="C46" i="15"/>
  <c r="C86" i="15" s="1"/>
  <c r="C126" i="15" s="1"/>
  <c r="M42" i="15"/>
  <c r="M82" i="15" s="1"/>
  <c r="M122" i="15" s="1"/>
  <c r="K35" i="15"/>
  <c r="H35" i="15"/>
  <c r="L47" i="15"/>
  <c r="L87" i="15" s="1"/>
  <c r="L127" i="15" s="1"/>
  <c r="A108" i="14"/>
  <c r="A148" i="14" s="1"/>
  <c r="M78" i="14"/>
  <c r="M118" i="14" s="1"/>
  <c r="M158" i="14" s="1"/>
  <c r="D78" i="14"/>
  <c r="D118" i="14" s="1"/>
  <c r="D158" i="14" s="1"/>
  <c r="M77" i="14"/>
  <c r="M117" i="14" s="1"/>
  <c r="M157" i="14" s="1"/>
  <c r="D77" i="14"/>
  <c r="D117" i="14" s="1"/>
  <c r="D157" i="14" s="1"/>
  <c r="P74" i="14"/>
  <c r="P114" i="14" s="1"/>
  <c r="P154" i="14" s="1"/>
  <c r="M74" i="14"/>
  <c r="M114" i="14" s="1"/>
  <c r="M154" i="14" s="1"/>
  <c r="K74" i="14"/>
  <c r="K114" i="14" s="1"/>
  <c r="K154" i="14" s="1"/>
  <c r="H74" i="14"/>
  <c r="H114" i="14" s="1"/>
  <c r="H154" i="14" s="1"/>
  <c r="B74" i="14"/>
  <c r="B114" i="14" s="1"/>
  <c r="B154" i="14" s="1"/>
  <c r="A74" i="14"/>
  <c r="A114" i="14" s="1"/>
  <c r="A154" i="14" s="1"/>
  <c r="P73" i="14"/>
  <c r="P113" i="14" s="1"/>
  <c r="P153" i="14" s="1"/>
  <c r="M73" i="14"/>
  <c r="M113" i="14" s="1"/>
  <c r="M153" i="14" s="1"/>
  <c r="K73" i="14"/>
  <c r="K113" i="14" s="1"/>
  <c r="K153" i="14" s="1"/>
  <c r="H73" i="14"/>
  <c r="H113" i="14" s="1"/>
  <c r="H153" i="14" s="1"/>
  <c r="B73" i="14"/>
  <c r="B113" i="14" s="1"/>
  <c r="B153" i="14" s="1"/>
  <c r="A73" i="14"/>
  <c r="A113" i="14" s="1"/>
  <c r="A153" i="14" s="1"/>
  <c r="P72" i="14"/>
  <c r="P112" i="14" s="1"/>
  <c r="P152" i="14" s="1"/>
  <c r="M72" i="14"/>
  <c r="M112" i="14" s="1"/>
  <c r="M152" i="14" s="1"/>
  <c r="K72" i="14"/>
  <c r="K112" i="14" s="1"/>
  <c r="K152" i="14" s="1"/>
  <c r="H72" i="14"/>
  <c r="H112" i="14" s="1"/>
  <c r="H152" i="14" s="1"/>
  <c r="B72" i="14"/>
  <c r="B112" i="14" s="1"/>
  <c r="B152" i="14" s="1"/>
  <c r="A72" i="14"/>
  <c r="A112" i="14" s="1"/>
  <c r="A152" i="14" s="1"/>
  <c r="P71" i="14"/>
  <c r="P111" i="14" s="1"/>
  <c r="P151" i="14" s="1"/>
  <c r="M71" i="14"/>
  <c r="M111" i="14" s="1"/>
  <c r="M151" i="14" s="1"/>
  <c r="K71" i="14"/>
  <c r="K111" i="14" s="1"/>
  <c r="K151" i="14" s="1"/>
  <c r="H71" i="14"/>
  <c r="H111" i="14" s="1"/>
  <c r="H151" i="14" s="1"/>
  <c r="B71" i="14"/>
  <c r="B111" i="14" s="1"/>
  <c r="B151" i="14" s="1"/>
  <c r="A71" i="14"/>
  <c r="A111" i="14" s="1"/>
  <c r="A151" i="14" s="1"/>
  <c r="P70" i="14"/>
  <c r="P110" i="14" s="1"/>
  <c r="P150" i="14" s="1"/>
  <c r="M70" i="14"/>
  <c r="M110" i="14" s="1"/>
  <c r="M150" i="14" s="1"/>
  <c r="K70" i="14"/>
  <c r="K110" i="14" s="1"/>
  <c r="K150" i="14" s="1"/>
  <c r="H70" i="14"/>
  <c r="H110" i="14" s="1"/>
  <c r="H150" i="14" s="1"/>
  <c r="B70" i="14"/>
  <c r="B110" i="14" s="1"/>
  <c r="B150" i="14" s="1"/>
  <c r="A70" i="14"/>
  <c r="A110" i="14" s="1"/>
  <c r="A150" i="14" s="1"/>
  <c r="P69" i="14"/>
  <c r="P109" i="14" s="1"/>
  <c r="P149" i="14" s="1"/>
  <c r="M69" i="14"/>
  <c r="M109" i="14" s="1"/>
  <c r="M149" i="14" s="1"/>
  <c r="K69" i="14"/>
  <c r="K109" i="14" s="1"/>
  <c r="K149" i="14" s="1"/>
  <c r="H69" i="14"/>
  <c r="H109" i="14" s="1"/>
  <c r="H149" i="14" s="1"/>
  <c r="B69" i="14"/>
  <c r="B109" i="14" s="1"/>
  <c r="B149" i="14" s="1"/>
  <c r="A69" i="14"/>
  <c r="A109" i="14" s="1"/>
  <c r="A149" i="14" s="1"/>
  <c r="P68" i="14"/>
  <c r="P108" i="14" s="1"/>
  <c r="P148" i="14" s="1"/>
  <c r="M68" i="14"/>
  <c r="M108" i="14" s="1"/>
  <c r="M148" i="14" s="1"/>
  <c r="K68" i="14"/>
  <c r="K108" i="14" s="1"/>
  <c r="K148" i="14" s="1"/>
  <c r="H68" i="14"/>
  <c r="H108" i="14" s="1"/>
  <c r="H148" i="14" s="1"/>
  <c r="B68" i="14"/>
  <c r="B108" i="14" s="1"/>
  <c r="B148" i="14" s="1"/>
  <c r="A68" i="14"/>
  <c r="P67" i="14"/>
  <c r="P107" i="14" s="1"/>
  <c r="P147" i="14" s="1"/>
  <c r="M67" i="14"/>
  <c r="M107" i="14" s="1"/>
  <c r="M147" i="14" s="1"/>
  <c r="K67" i="14"/>
  <c r="K107" i="14" s="1"/>
  <c r="K147" i="14" s="1"/>
  <c r="H67" i="14"/>
  <c r="H107" i="14" s="1"/>
  <c r="H147" i="14" s="1"/>
  <c r="B67" i="14"/>
  <c r="B107" i="14" s="1"/>
  <c r="B147" i="14" s="1"/>
  <c r="A67" i="14"/>
  <c r="A107" i="14" s="1"/>
  <c r="A147" i="14" s="1"/>
  <c r="P66" i="14"/>
  <c r="P106" i="14" s="1"/>
  <c r="P146" i="14" s="1"/>
  <c r="M66" i="14"/>
  <c r="M106" i="14" s="1"/>
  <c r="M146" i="14" s="1"/>
  <c r="K66" i="14"/>
  <c r="K106" i="14" s="1"/>
  <c r="K146" i="14" s="1"/>
  <c r="H66" i="14"/>
  <c r="H106" i="14" s="1"/>
  <c r="H146" i="14" s="1"/>
  <c r="B66" i="14"/>
  <c r="B106" i="14" s="1"/>
  <c r="B146" i="14" s="1"/>
  <c r="A66" i="14"/>
  <c r="A106" i="14" s="1"/>
  <c r="A146" i="14" s="1"/>
  <c r="P65" i="14"/>
  <c r="P105" i="14" s="1"/>
  <c r="P145" i="14" s="1"/>
  <c r="M65" i="14"/>
  <c r="M105" i="14" s="1"/>
  <c r="M145" i="14" s="1"/>
  <c r="K65" i="14"/>
  <c r="K105" i="14" s="1"/>
  <c r="K145" i="14" s="1"/>
  <c r="H65" i="14"/>
  <c r="H105" i="14" s="1"/>
  <c r="H145" i="14" s="1"/>
  <c r="B65" i="14"/>
  <c r="B105" i="14" s="1"/>
  <c r="B145" i="14" s="1"/>
  <c r="A65" i="14"/>
  <c r="A105" i="14" s="1"/>
  <c r="A145" i="14" s="1"/>
  <c r="P64" i="14"/>
  <c r="P104" i="14" s="1"/>
  <c r="P144" i="14" s="1"/>
  <c r="M64" i="14"/>
  <c r="M104" i="14" s="1"/>
  <c r="M144" i="14" s="1"/>
  <c r="K64" i="14"/>
  <c r="K104" i="14" s="1"/>
  <c r="K144" i="14" s="1"/>
  <c r="H64" i="14"/>
  <c r="H104" i="14" s="1"/>
  <c r="H144" i="14" s="1"/>
  <c r="B64" i="14"/>
  <c r="B104" i="14" s="1"/>
  <c r="B144" i="14" s="1"/>
  <c r="A64" i="14"/>
  <c r="A104" i="14" s="1"/>
  <c r="A144" i="14" s="1"/>
  <c r="P63" i="14"/>
  <c r="P103" i="14" s="1"/>
  <c r="P143" i="14" s="1"/>
  <c r="M63" i="14"/>
  <c r="M103" i="14" s="1"/>
  <c r="M143" i="14" s="1"/>
  <c r="K63" i="14"/>
  <c r="K103" i="14" s="1"/>
  <c r="K143" i="14" s="1"/>
  <c r="H63" i="14"/>
  <c r="H103" i="14" s="1"/>
  <c r="H143" i="14" s="1"/>
  <c r="B63" i="14"/>
  <c r="B103" i="14" s="1"/>
  <c r="B143" i="14" s="1"/>
  <c r="A63" i="14"/>
  <c r="A103" i="14" s="1"/>
  <c r="A143" i="14" s="1"/>
  <c r="P62" i="14"/>
  <c r="P102" i="14" s="1"/>
  <c r="P142" i="14" s="1"/>
  <c r="M62" i="14"/>
  <c r="M102" i="14" s="1"/>
  <c r="M142" i="14" s="1"/>
  <c r="K62" i="14"/>
  <c r="K102" i="14" s="1"/>
  <c r="K142" i="14" s="1"/>
  <c r="H62" i="14"/>
  <c r="H102" i="14" s="1"/>
  <c r="H142" i="14" s="1"/>
  <c r="B62" i="14"/>
  <c r="B102" i="14" s="1"/>
  <c r="B142" i="14" s="1"/>
  <c r="A62" i="14"/>
  <c r="A102" i="14" s="1"/>
  <c r="A142" i="14" s="1"/>
  <c r="P61" i="14"/>
  <c r="P101" i="14" s="1"/>
  <c r="P141" i="14" s="1"/>
  <c r="M61" i="14"/>
  <c r="M101" i="14" s="1"/>
  <c r="M141" i="14" s="1"/>
  <c r="K61" i="14"/>
  <c r="K101" i="14" s="1"/>
  <c r="K141" i="14" s="1"/>
  <c r="H61" i="14"/>
  <c r="H101" i="14" s="1"/>
  <c r="H141" i="14" s="1"/>
  <c r="B61" i="14"/>
  <c r="B101" i="14" s="1"/>
  <c r="B141" i="14" s="1"/>
  <c r="A61" i="14"/>
  <c r="A101" i="14" s="1"/>
  <c r="A141" i="14" s="1"/>
  <c r="P60" i="14"/>
  <c r="P100" i="14" s="1"/>
  <c r="P140" i="14" s="1"/>
  <c r="M60" i="14"/>
  <c r="M100" i="14" s="1"/>
  <c r="M140" i="14" s="1"/>
  <c r="K60" i="14"/>
  <c r="K100" i="14" s="1"/>
  <c r="K140" i="14" s="1"/>
  <c r="H60" i="14"/>
  <c r="H100" i="14" s="1"/>
  <c r="H140" i="14" s="1"/>
  <c r="B60" i="14"/>
  <c r="B100" i="14" s="1"/>
  <c r="B140" i="14" s="1"/>
  <c r="A60" i="14"/>
  <c r="A100" i="14" s="1"/>
  <c r="A140" i="14" s="1"/>
  <c r="P59" i="14"/>
  <c r="P99" i="14" s="1"/>
  <c r="P139" i="14" s="1"/>
  <c r="M59" i="14"/>
  <c r="M99" i="14" s="1"/>
  <c r="M139" i="14" s="1"/>
  <c r="K59" i="14"/>
  <c r="K99" i="14" s="1"/>
  <c r="K139" i="14" s="1"/>
  <c r="H59" i="14"/>
  <c r="H99" i="14" s="1"/>
  <c r="H139" i="14" s="1"/>
  <c r="B59" i="14"/>
  <c r="B99" i="14" s="1"/>
  <c r="B139" i="14" s="1"/>
  <c r="A59" i="14"/>
  <c r="A99" i="14" s="1"/>
  <c r="A139" i="14" s="1"/>
  <c r="P58" i="14"/>
  <c r="P98" i="14" s="1"/>
  <c r="P138" i="14" s="1"/>
  <c r="M58" i="14"/>
  <c r="M98" i="14" s="1"/>
  <c r="M138" i="14" s="1"/>
  <c r="K58" i="14"/>
  <c r="K98" i="14" s="1"/>
  <c r="K138" i="14" s="1"/>
  <c r="H58" i="14"/>
  <c r="H98" i="14" s="1"/>
  <c r="H138" i="14" s="1"/>
  <c r="B58" i="14"/>
  <c r="B98" i="14" s="1"/>
  <c r="B138" i="14" s="1"/>
  <c r="A58" i="14"/>
  <c r="A98" i="14" s="1"/>
  <c r="A138" i="14" s="1"/>
  <c r="P57" i="14"/>
  <c r="P97" i="14" s="1"/>
  <c r="P137" i="14" s="1"/>
  <c r="M57" i="14"/>
  <c r="M97" i="14" s="1"/>
  <c r="M137" i="14" s="1"/>
  <c r="K57" i="14"/>
  <c r="K97" i="14" s="1"/>
  <c r="K137" i="14" s="1"/>
  <c r="H57" i="14"/>
  <c r="H97" i="14" s="1"/>
  <c r="H137" i="14" s="1"/>
  <c r="B57" i="14"/>
  <c r="B97" i="14" s="1"/>
  <c r="B137" i="14" s="1"/>
  <c r="A57" i="14"/>
  <c r="A97" i="14" s="1"/>
  <c r="A137" i="14" s="1"/>
  <c r="P56" i="14"/>
  <c r="P96" i="14" s="1"/>
  <c r="P136" i="14" s="1"/>
  <c r="M56" i="14"/>
  <c r="M96" i="14" s="1"/>
  <c r="M136" i="14" s="1"/>
  <c r="K56" i="14"/>
  <c r="K96" i="14" s="1"/>
  <c r="K136" i="14" s="1"/>
  <c r="H56" i="14"/>
  <c r="H96" i="14" s="1"/>
  <c r="H136" i="14" s="1"/>
  <c r="B56" i="14"/>
  <c r="B96" i="14" s="1"/>
  <c r="B136" i="14" s="1"/>
  <c r="A56" i="14"/>
  <c r="A96" i="14" s="1"/>
  <c r="A136" i="14" s="1"/>
  <c r="P55" i="14"/>
  <c r="P95" i="14" s="1"/>
  <c r="P135" i="14" s="1"/>
  <c r="M55" i="14"/>
  <c r="M95" i="14" s="1"/>
  <c r="M135" i="14" s="1"/>
  <c r="K55" i="14"/>
  <c r="K95" i="14" s="1"/>
  <c r="H55" i="14"/>
  <c r="H95" i="14" s="1"/>
  <c r="B55" i="14"/>
  <c r="B95" i="14" s="1"/>
  <c r="B135" i="14" s="1"/>
  <c r="A55" i="14"/>
  <c r="A95" i="14" s="1"/>
  <c r="A135" i="14" s="1"/>
  <c r="C54" i="14"/>
  <c r="C94" i="14" s="1"/>
  <c r="C134" i="14" s="1"/>
  <c r="C53" i="14"/>
  <c r="C93" i="14" s="1"/>
  <c r="C133" i="14" s="1"/>
  <c r="B53" i="14"/>
  <c r="B93" i="14" s="1"/>
  <c r="B133" i="14" s="1"/>
  <c r="L49" i="14"/>
  <c r="L89" i="14" s="1"/>
  <c r="L129" i="14" s="1"/>
  <c r="L48" i="14"/>
  <c r="L88" i="14" s="1"/>
  <c r="L128" i="14" s="1"/>
  <c r="A48" i="14"/>
  <c r="A88" i="14" s="1"/>
  <c r="A128" i="14" s="1"/>
  <c r="L46" i="14"/>
  <c r="L86" i="14" s="1"/>
  <c r="L126" i="14" s="1"/>
  <c r="C46" i="14"/>
  <c r="C86" i="14" s="1"/>
  <c r="C126" i="14" s="1"/>
  <c r="M42" i="14"/>
  <c r="M82" i="14" s="1"/>
  <c r="M122" i="14" s="1"/>
  <c r="K35" i="14"/>
  <c r="H35" i="14"/>
  <c r="L47" i="14"/>
  <c r="L87" i="14" s="1"/>
  <c r="L127" i="14" s="1"/>
  <c r="M102" i="13"/>
  <c r="M142" i="13" s="1"/>
  <c r="M78" i="13"/>
  <c r="M118" i="13" s="1"/>
  <c r="M158" i="13" s="1"/>
  <c r="D78" i="13"/>
  <c r="D118" i="13" s="1"/>
  <c r="D158" i="13" s="1"/>
  <c r="M77" i="13"/>
  <c r="M117" i="13" s="1"/>
  <c r="M157" i="13" s="1"/>
  <c r="D77" i="13"/>
  <c r="D117" i="13" s="1"/>
  <c r="D157" i="13" s="1"/>
  <c r="P74" i="13"/>
  <c r="P114" i="13" s="1"/>
  <c r="P154" i="13" s="1"/>
  <c r="M74" i="13"/>
  <c r="M114" i="13" s="1"/>
  <c r="M154" i="13" s="1"/>
  <c r="K74" i="13"/>
  <c r="K114" i="13" s="1"/>
  <c r="K154" i="13" s="1"/>
  <c r="H74" i="13"/>
  <c r="H114" i="13" s="1"/>
  <c r="H154" i="13" s="1"/>
  <c r="B74" i="13"/>
  <c r="B114" i="13" s="1"/>
  <c r="B154" i="13" s="1"/>
  <c r="A74" i="13"/>
  <c r="A114" i="13" s="1"/>
  <c r="A154" i="13" s="1"/>
  <c r="P73" i="13"/>
  <c r="P113" i="13" s="1"/>
  <c r="P153" i="13" s="1"/>
  <c r="M73" i="13"/>
  <c r="M113" i="13" s="1"/>
  <c r="M153" i="13" s="1"/>
  <c r="K73" i="13"/>
  <c r="K113" i="13" s="1"/>
  <c r="K153" i="13" s="1"/>
  <c r="H73" i="13"/>
  <c r="H113" i="13" s="1"/>
  <c r="H153" i="13" s="1"/>
  <c r="B73" i="13"/>
  <c r="B113" i="13" s="1"/>
  <c r="B153" i="13" s="1"/>
  <c r="A73" i="13"/>
  <c r="A113" i="13" s="1"/>
  <c r="A153" i="13" s="1"/>
  <c r="P72" i="13"/>
  <c r="P112" i="13" s="1"/>
  <c r="P152" i="13" s="1"/>
  <c r="M72" i="13"/>
  <c r="M112" i="13" s="1"/>
  <c r="M152" i="13" s="1"/>
  <c r="K72" i="13"/>
  <c r="K112" i="13" s="1"/>
  <c r="K152" i="13" s="1"/>
  <c r="H72" i="13"/>
  <c r="H112" i="13" s="1"/>
  <c r="H152" i="13" s="1"/>
  <c r="B72" i="13"/>
  <c r="B112" i="13" s="1"/>
  <c r="B152" i="13" s="1"/>
  <c r="A72" i="13"/>
  <c r="A112" i="13" s="1"/>
  <c r="A152" i="13" s="1"/>
  <c r="P71" i="13"/>
  <c r="P111" i="13" s="1"/>
  <c r="P151" i="13" s="1"/>
  <c r="M71" i="13"/>
  <c r="M111" i="13" s="1"/>
  <c r="M151" i="13" s="1"/>
  <c r="K71" i="13"/>
  <c r="K111" i="13" s="1"/>
  <c r="K151" i="13" s="1"/>
  <c r="H71" i="13"/>
  <c r="H111" i="13" s="1"/>
  <c r="H151" i="13" s="1"/>
  <c r="B71" i="13"/>
  <c r="B111" i="13" s="1"/>
  <c r="B151" i="13" s="1"/>
  <c r="A71" i="13"/>
  <c r="A111" i="13" s="1"/>
  <c r="A151" i="13" s="1"/>
  <c r="P70" i="13"/>
  <c r="P110" i="13" s="1"/>
  <c r="P150" i="13" s="1"/>
  <c r="M70" i="13"/>
  <c r="M110" i="13" s="1"/>
  <c r="M150" i="13" s="1"/>
  <c r="K70" i="13"/>
  <c r="K110" i="13" s="1"/>
  <c r="K150" i="13" s="1"/>
  <c r="H70" i="13"/>
  <c r="H110" i="13" s="1"/>
  <c r="H150" i="13" s="1"/>
  <c r="B70" i="13"/>
  <c r="B110" i="13" s="1"/>
  <c r="B150" i="13" s="1"/>
  <c r="A70" i="13"/>
  <c r="A110" i="13" s="1"/>
  <c r="A150" i="13" s="1"/>
  <c r="P69" i="13"/>
  <c r="P109" i="13" s="1"/>
  <c r="P149" i="13" s="1"/>
  <c r="M69" i="13"/>
  <c r="M109" i="13" s="1"/>
  <c r="M149" i="13" s="1"/>
  <c r="K69" i="13"/>
  <c r="K109" i="13" s="1"/>
  <c r="K149" i="13" s="1"/>
  <c r="H69" i="13"/>
  <c r="H109" i="13" s="1"/>
  <c r="H149" i="13" s="1"/>
  <c r="B69" i="13"/>
  <c r="B109" i="13" s="1"/>
  <c r="B149" i="13" s="1"/>
  <c r="A69" i="13"/>
  <c r="A109" i="13" s="1"/>
  <c r="A149" i="13" s="1"/>
  <c r="P68" i="13"/>
  <c r="P108" i="13" s="1"/>
  <c r="P148" i="13" s="1"/>
  <c r="M68" i="13"/>
  <c r="M108" i="13" s="1"/>
  <c r="M148" i="13" s="1"/>
  <c r="K68" i="13"/>
  <c r="K108" i="13" s="1"/>
  <c r="K148" i="13" s="1"/>
  <c r="H68" i="13"/>
  <c r="H108" i="13" s="1"/>
  <c r="H148" i="13" s="1"/>
  <c r="B68" i="13"/>
  <c r="B108" i="13" s="1"/>
  <c r="B148" i="13" s="1"/>
  <c r="A68" i="13"/>
  <c r="A108" i="13" s="1"/>
  <c r="A148" i="13" s="1"/>
  <c r="P67" i="13"/>
  <c r="P107" i="13" s="1"/>
  <c r="P147" i="13" s="1"/>
  <c r="M67" i="13"/>
  <c r="M107" i="13" s="1"/>
  <c r="M147" i="13" s="1"/>
  <c r="K67" i="13"/>
  <c r="K107" i="13" s="1"/>
  <c r="K147" i="13" s="1"/>
  <c r="H67" i="13"/>
  <c r="H107" i="13" s="1"/>
  <c r="H147" i="13" s="1"/>
  <c r="B67" i="13"/>
  <c r="B107" i="13" s="1"/>
  <c r="B147" i="13" s="1"/>
  <c r="A67" i="13"/>
  <c r="A107" i="13" s="1"/>
  <c r="A147" i="13" s="1"/>
  <c r="P66" i="13"/>
  <c r="P106" i="13" s="1"/>
  <c r="P146" i="13" s="1"/>
  <c r="M66" i="13"/>
  <c r="M106" i="13" s="1"/>
  <c r="M146" i="13" s="1"/>
  <c r="K66" i="13"/>
  <c r="K106" i="13" s="1"/>
  <c r="K146" i="13" s="1"/>
  <c r="H66" i="13"/>
  <c r="H106" i="13" s="1"/>
  <c r="H146" i="13" s="1"/>
  <c r="B66" i="13"/>
  <c r="B106" i="13" s="1"/>
  <c r="B146" i="13" s="1"/>
  <c r="A66" i="13"/>
  <c r="A106" i="13" s="1"/>
  <c r="A146" i="13" s="1"/>
  <c r="P65" i="13"/>
  <c r="P105" i="13" s="1"/>
  <c r="P145" i="13" s="1"/>
  <c r="M65" i="13"/>
  <c r="M105" i="13" s="1"/>
  <c r="M145" i="13" s="1"/>
  <c r="K65" i="13"/>
  <c r="K105" i="13" s="1"/>
  <c r="K145" i="13" s="1"/>
  <c r="H65" i="13"/>
  <c r="H105" i="13" s="1"/>
  <c r="H145" i="13" s="1"/>
  <c r="B65" i="13"/>
  <c r="B105" i="13" s="1"/>
  <c r="B145" i="13" s="1"/>
  <c r="A65" i="13"/>
  <c r="A105" i="13" s="1"/>
  <c r="A145" i="13" s="1"/>
  <c r="P64" i="13"/>
  <c r="P104" i="13" s="1"/>
  <c r="P144" i="13" s="1"/>
  <c r="M64" i="13"/>
  <c r="M104" i="13" s="1"/>
  <c r="M144" i="13" s="1"/>
  <c r="K64" i="13"/>
  <c r="K104" i="13" s="1"/>
  <c r="K144" i="13" s="1"/>
  <c r="H64" i="13"/>
  <c r="H104" i="13" s="1"/>
  <c r="H144" i="13" s="1"/>
  <c r="B64" i="13"/>
  <c r="B104" i="13" s="1"/>
  <c r="B144" i="13" s="1"/>
  <c r="A64" i="13"/>
  <c r="A104" i="13" s="1"/>
  <c r="A144" i="13" s="1"/>
  <c r="P63" i="13"/>
  <c r="P103" i="13" s="1"/>
  <c r="P143" i="13" s="1"/>
  <c r="M63" i="13"/>
  <c r="M103" i="13" s="1"/>
  <c r="M143" i="13" s="1"/>
  <c r="K63" i="13"/>
  <c r="K103" i="13" s="1"/>
  <c r="K143" i="13" s="1"/>
  <c r="H63" i="13"/>
  <c r="H103" i="13" s="1"/>
  <c r="H143" i="13" s="1"/>
  <c r="B63" i="13"/>
  <c r="B103" i="13" s="1"/>
  <c r="B143" i="13" s="1"/>
  <c r="A63" i="13"/>
  <c r="A103" i="13" s="1"/>
  <c r="A143" i="13" s="1"/>
  <c r="P62" i="13"/>
  <c r="P102" i="13" s="1"/>
  <c r="P142" i="13" s="1"/>
  <c r="M62" i="13"/>
  <c r="K62" i="13"/>
  <c r="K102" i="13" s="1"/>
  <c r="K142" i="13" s="1"/>
  <c r="H62" i="13"/>
  <c r="H102" i="13" s="1"/>
  <c r="H142" i="13" s="1"/>
  <c r="B62" i="13"/>
  <c r="B102" i="13" s="1"/>
  <c r="B142" i="13" s="1"/>
  <c r="A62" i="13"/>
  <c r="A102" i="13" s="1"/>
  <c r="A142" i="13" s="1"/>
  <c r="P61" i="13"/>
  <c r="P101" i="13" s="1"/>
  <c r="P141" i="13" s="1"/>
  <c r="M61" i="13"/>
  <c r="M101" i="13" s="1"/>
  <c r="M141" i="13" s="1"/>
  <c r="K61" i="13"/>
  <c r="K101" i="13" s="1"/>
  <c r="K141" i="13" s="1"/>
  <c r="H61" i="13"/>
  <c r="H101" i="13" s="1"/>
  <c r="H141" i="13" s="1"/>
  <c r="B61" i="13"/>
  <c r="B101" i="13" s="1"/>
  <c r="B141" i="13" s="1"/>
  <c r="A61" i="13"/>
  <c r="A101" i="13" s="1"/>
  <c r="A141" i="13" s="1"/>
  <c r="P60" i="13"/>
  <c r="P100" i="13" s="1"/>
  <c r="P140" i="13" s="1"/>
  <c r="M60" i="13"/>
  <c r="M100" i="13" s="1"/>
  <c r="M140" i="13" s="1"/>
  <c r="K60" i="13"/>
  <c r="K100" i="13" s="1"/>
  <c r="K140" i="13" s="1"/>
  <c r="H60" i="13"/>
  <c r="H100" i="13" s="1"/>
  <c r="H140" i="13" s="1"/>
  <c r="B60" i="13"/>
  <c r="B100" i="13" s="1"/>
  <c r="B140" i="13" s="1"/>
  <c r="A60" i="13"/>
  <c r="A100" i="13" s="1"/>
  <c r="A140" i="13" s="1"/>
  <c r="P59" i="13"/>
  <c r="P99" i="13" s="1"/>
  <c r="P139" i="13" s="1"/>
  <c r="M59" i="13"/>
  <c r="M99" i="13" s="1"/>
  <c r="M139" i="13" s="1"/>
  <c r="K59" i="13"/>
  <c r="K99" i="13" s="1"/>
  <c r="K139" i="13" s="1"/>
  <c r="H59" i="13"/>
  <c r="H99" i="13" s="1"/>
  <c r="H139" i="13" s="1"/>
  <c r="B59" i="13"/>
  <c r="B99" i="13" s="1"/>
  <c r="B139" i="13" s="1"/>
  <c r="A59" i="13"/>
  <c r="A99" i="13" s="1"/>
  <c r="A139" i="13" s="1"/>
  <c r="P58" i="13"/>
  <c r="P98" i="13" s="1"/>
  <c r="P138" i="13" s="1"/>
  <c r="M58" i="13"/>
  <c r="M98" i="13" s="1"/>
  <c r="M138" i="13" s="1"/>
  <c r="K58" i="13"/>
  <c r="K98" i="13" s="1"/>
  <c r="K138" i="13" s="1"/>
  <c r="H58" i="13"/>
  <c r="H98" i="13" s="1"/>
  <c r="H138" i="13" s="1"/>
  <c r="B58" i="13"/>
  <c r="B98" i="13" s="1"/>
  <c r="B138" i="13" s="1"/>
  <c r="A58" i="13"/>
  <c r="A98" i="13" s="1"/>
  <c r="A138" i="13" s="1"/>
  <c r="P57" i="13"/>
  <c r="P97" i="13" s="1"/>
  <c r="P137" i="13" s="1"/>
  <c r="M57" i="13"/>
  <c r="M97" i="13" s="1"/>
  <c r="M137" i="13" s="1"/>
  <c r="K57" i="13"/>
  <c r="K97" i="13" s="1"/>
  <c r="K137" i="13" s="1"/>
  <c r="H57" i="13"/>
  <c r="H97" i="13" s="1"/>
  <c r="H137" i="13" s="1"/>
  <c r="B57" i="13"/>
  <c r="B97" i="13" s="1"/>
  <c r="B137" i="13" s="1"/>
  <c r="A57" i="13"/>
  <c r="A97" i="13" s="1"/>
  <c r="A137" i="13" s="1"/>
  <c r="P56" i="13"/>
  <c r="P96" i="13" s="1"/>
  <c r="P136" i="13" s="1"/>
  <c r="M56" i="13"/>
  <c r="M96" i="13" s="1"/>
  <c r="M136" i="13" s="1"/>
  <c r="K56" i="13"/>
  <c r="K96" i="13" s="1"/>
  <c r="K136" i="13" s="1"/>
  <c r="H56" i="13"/>
  <c r="H96" i="13" s="1"/>
  <c r="H136" i="13" s="1"/>
  <c r="B56" i="13"/>
  <c r="B96" i="13" s="1"/>
  <c r="B136" i="13" s="1"/>
  <c r="A56" i="13"/>
  <c r="A96" i="13" s="1"/>
  <c r="A136" i="13" s="1"/>
  <c r="P55" i="13"/>
  <c r="P95" i="13" s="1"/>
  <c r="P135" i="13" s="1"/>
  <c r="M55" i="13"/>
  <c r="M95" i="13" s="1"/>
  <c r="M135" i="13" s="1"/>
  <c r="K55" i="13"/>
  <c r="K95" i="13" s="1"/>
  <c r="H55" i="13"/>
  <c r="H95" i="13" s="1"/>
  <c r="B55" i="13"/>
  <c r="B95" i="13" s="1"/>
  <c r="B135" i="13" s="1"/>
  <c r="A55" i="13"/>
  <c r="A95" i="13" s="1"/>
  <c r="A135" i="13" s="1"/>
  <c r="C54" i="13"/>
  <c r="C94" i="13" s="1"/>
  <c r="C134" i="13" s="1"/>
  <c r="C53" i="13"/>
  <c r="C93" i="13" s="1"/>
  <c r="C133" i="13" s="1"/>
  <c r="B53" i="13"/>
  <c r="B93" i="13" s="1"/>
  <c r="B133" i="13" s="1"/>
  <c r="L49" i="13"/>
  <c r="L89" i="13" s="1"/>
  <c r="L129" i="13" s="1"/>
  <c r="L48" i="13"/>
  <c r="L88" i="13" s="1"/>
  <c r="L128" i="13" s="1"/>
  <c r="A48" i="13"/>
  <c r="A88" i="13" s="1"/>
  <c r="A128" i="13" s="1"/>
  <c r="L46" i="13"/>
  <c r="L86" i="13" s="1"/>
  <c r="L126" i="13" s="1"/>
  <c r="C46" i="13"/>
  <c r="C86" i="13" s="1"/>
  <c r="C126" i="13" s="1"/>
  <c r="M42" i="13"/>
  <c r="M82" i="13" s="1"/>
  <c r="M122" i="13" s="1"/>
  <c r="K35" i="13"/>
  <c r="H35" i="13"/>
  <c r="L47" i="13"/>
  <c r="L87" i="13" s="1"/>
  <c r="L127" i="13" s="1"/>
  <c r="M78" i="12"/>
  <c r="M118" i="12" s="1"/>
  <c r="M158" i="12" s="1"/>
  <c r="D78" i="12"/>
  <c r="D118" i="12" s="1"/>
  <c r="D158" i="12" s="1"/>
  <c r="M77" i="12"/>
  <c r="M117" i="12" s="1"/>
  <c r="M157" i="12" s="1"/>
  <c r="D77" i="12"/>
  <c r="D117" i="12" s="1"/>
  <c r="D157" i="12" s="1"/>
  <c r="P74" i="12"/>
  <c r="P114" i="12" s="1"/>
  <c r="P154" i="12" s="1"/>
  <c r="M74" i="12"/>
  <c r="M114" i="12" s="1"/>
  <c r="M154" i="12" s="1"/>
  <c r="K74" i="12"/>
  <c r="K114" i="12" s="1"/>
  <c r="K154" i="12" s="1"/>
  <c r="H74" i="12"/>
  <c r="H114" i="12" s="1"/>
  <c r="H154" i="12" s="1"/>
  <c r="B74" i="12"/>
  <c r="B114" i="12" s="1"/>
  <c r="B154" i="12" s="1"/>
  <c r="A74" i="12"/>
  <c r="A114" i="12" s="1"/>
  <c r="A154" i="12" s="1"/>
  <c r="P73" i="12"/>
  <c r="P113" i="12" s="1"/>
  <c r="P153" i="12" s="1"/>
  <c r="M73" i="12"/>
  <c r="M113" i="12" s="1"/>
  <c r="M153" i="12" s="1"/>
  <c r="K73" i="12"/>
  <c r="K113" i="12" s="1"/>
  <c r="K153" i="12" s="1"/>
  <c r="H73" i="12"/>
  <c r="H113" i="12" s="1"/>
  <c r="H153" i="12" s="1"/>
  <c r="B73" i="12"/>
  <c r="B113" i="12" s="1"/>
  <c r="B153" i="12" s="1"/>
  <c r="A73" i="12"/>
  <c r="A113" i="12" s="1"/>
  <c r="A153" i="12" s="1"/>
  <c r="P72" i="12"/>
  <c r="P112" i="12" s="1"/>
  <c r="P152" i="12" s="1"/>
  <c r="M72" i="12"/>
  <c r="M112" i="12" s="1"/>
  <c r="M152" i="12" s="1"/>
  <c r="K72" i="12"/>
  <c r="K112" i="12" s="1"/>
  <c r="K152" i="12" s="1"/>
  <c r="H72" i="12"/>
  <c r="H112" i="12" s="1"/>
  <c r="H152" i="12" s="1"/>
  <c r="B72" i="12"/>
  <c r="B112" i="12" s="1"/>
  <c r="B152" i="12" s="1"/>
  <c r="A72" i="12"/>
  <c r="A112" i="12" s="1"/>
  <c r="A152" i="12" s="1"/>
  <c r="P71" i="12"/>
  <c r="P111" i="12" s="1"/>
  <c r="P151" i="12" s="1"/>
  <c r="M71" i="12"/>
  <c r="M111" i="12" s="1"/>
  <c r="M151" i="12" s="1"/>
  <c r="K71" i="12"/>
  <c r="K111" i="12" s="1"/>
  <c r="K151" i="12" s="1"/>
  <c r="H71" i="12"/>
  <c r="H111" i="12" s="1"/>
  <c r="H151" i="12" s="1"/>
  <c r="B71" i="12"/>
  <c r="B111" i="12" s="1"/>
  <c r="B151" i="12" s="1"/>
  <c r="A71" i="12"/>
  <c r="A111" i="12" s="1"/>
  <c r="A151" i="12" s="1"/>
  <c r="P70" i="12"/>
  <c r="P110" i="12" s="1"/>
  <c r="P150" i="12" s="1"/>
  <c r="M70" i="12"/>
  <c r="M110" i="12" s="1"/>
  <c r="M150" i="12" s="1"/>
  <c r="K70" i="12"/>
  <c r="K110" i="12" s="1"/>
  <c r="K150" i="12" s="1"/>
  <c r="H70" i="12"/>
  <c r="H110" i="12" s="1"/>
  <c r="H150" i="12" s="1"/>
  <c r="B70" i="12"/>
  <c r="B110" i="12" s="1"/>
  <c r="B150" i="12" s="1"/>
  <c r="A70" i="12"/>
  <c r="A110" i="12" s="1"/>
  <c r="A150" i="12" s="1"/>
  <c r="P69" i="12"/>
  <c r="P109" i="12" s="1"/>
  <c r="P149" i="12" s="1"/>
  <c r="M69" i="12"/>
  <c r="M109" i="12" s="1"/>
  <c r="M149" i="12" s="1"/>
  <c r="K69" i="12"/>
  <c r="K109" i="12" s="1"/>
  <c r="K149" i="12" s="1"/>
  <c r="H69" i="12"/>
  <c r="H109" i="12" s="1"/>
  <c r="H149" i="12" s="1"/>
  <c r="B69" i="12"/>
  <c r="B109" i="12" s="1"/>
  <c r="B149" i="12" s="1"/>
  <c r="A69" i="12"/>
  <c r="A109" i="12" s="1"/>
  <c r="A149" i="12" s="1"/>
  <c r="P68" i="12"/>
  <c r="P108" i="12" s="1"/>
  <c r="P148" i="12" s="1"/>
  <c r="M68" i="12"/>
  <c r="M108" i="12" s="1"/>
  <c r="M148" i="12" s="1"/>
  <c r="K68" i="12"/>
  <c r="K108" i="12" s="1"/>
  <c r="K148" i="12" s="1"/>
  <c r="H68" i="12"/>
  <c r="H108" i="12" s="1"/>
  <c r="H148" i="12" s="1"/>
  <c r="B68" i="12"/>
  <c r="B108" i="12" s="1"/>
  <c r="B148" i="12" s="1"/>
  <c r="A68" i="12"/>
  <c r="A108" i="12" s="1"/>
  <c r="A148" i="12" s="1"/>
  <c r="P67" i="12"/>
  <c r="P107" i="12" s="1"/>
  <c r="P147" i="12" s="1"/>
  <c r="M67" i="12"/>
  <c r="M107" i="12" s="1"/>
  <c r="M147" i="12" s="1"/>
  <c r="K67" i="12"/>
  <c r="K107" i="12" s="1"/>
  <c r="K147" i="12" s="1"/>
  <c r="H67" i="12"/>
  <c r="H107" i="12" s="1"/>
  <c r="H147" i="12" s="1"/>
  <c r="B67" i="12"/>
  <c r="B107" i="12" s="1"/>
  <c r="B147" i="12" s="1"/>
  <c r="A67" i="12"/>
  <c r="A107" i="12" s="1"/>
  <c r="A147" i="12" s="1"/>
  <c r="P66" i="12"/>
  <c r="P106" i="12" s="1"/>
  <c r="P146" i="12" s="1"/>
  <c r="M66" i="12"/>
  <c r="M106" i="12" s="1"/>
  <c r="M146" i="12" s="1"/>
  <c r="K66" i="12"/>
  <c r="K106" i="12" s="1"/>
  <c r="K146" i="12" s="1"/>
  <c r="H66" i="12"/>
  <c r="H106" i="12" s="1"/>
  <c r="H146" i="12" s="1"/>
  <c r="B66" i="12"/>
  <c r="B106" i="12" s="1"/>
  <c r="B146" i="12" s="1"/>
  <c r="A66" i="12"/>
  <c r="A106" i="12" s="1"/>
  <c r="A146" i="12" s="1"/>
  <c r="P65" i="12"/>
  <c r="P105" i="12" s="1"/>
  <c r="P145" i="12" s="1"/>
  <c r="M65" i="12"/>
  <c r="M105" i="12" s="1"/>
  <c r="M145" i="12" s="1"/>
  <c r="K65" i="12"/>
  <c r="K105" i="12" s="1"/>
  <c r="K145" i="12" s="1"/>
  <c r="H65" i="12"/>
  <c r="H105" i="12" s="1"/>
  <c r="H145" i="12" s="1"/>
  <c r="B65" i="12"/>
  <c r="B105" i="12" s="1"/>
  <c r="B145" i="12" s="1"/>
  <c r="A65" i="12"/>
  <c r="A105" i="12" s="1"/>
  <c r="A145" i="12" s="1"/>
  <c r="P64" i="12"/>
  <c r="P104" i="12" s="1"/>
  <c r="P144" i="12" s="1"/>
  <c r="M64" i="12"/>
  <c r="M104" i="12" s="1"/>
  <c r="M144" i="12" s="1"/>
  <c r="K64" i="12"/>
  <c r="K104" i="12" s="1"/>
  <c r="K144" i="12" s="1"/>
  <c r="H64" i="12"/>
  <c r="H104" i="12" s="1"/>
  <c r="H144" i="12" s="1"/>
  <c r="B64" i="12"/>
  <c r="B104" i="12" s="1"/>
  <c r="B144" i="12" s="1"/>
  <c r="A64" i="12"/>
  <c r="A104" i="12" s="1"/>
  <c r="A144" i="12" s="1"/>
  <c r="P63" i="12"/>
  <c r="P103" i="12" s="1"/>
  <c r="P143" i="12" s="1"/>
  <c r="M63" i="12"/>
  <c r="M103" i="12" s="1"/>
  <c r="M143" i="12" s="1"/>
  <c r="K63" i="12"/>
  <c r="K103" i="12" s="1"/>
  <c r="K143" i="12" s="1"/>
  <c r="H63" i="12"/>
  <c r="H103" i="12" s="1"/>
  <c r="H143" i="12" s="1"/>
  <c r="B63" i="12"/>
  <c r="B103" i="12" s="1"/>
  <c r="B143" i="12" s="1"/>
  <c r="A63" i="12"/>
  <c r="A103" i="12" s="1"/>
  <c r="A143" i="12" s="1"/>
  <c r="P62" i="12"/>
  <c r="P102" i="12" s="1"/>
  <c r="P142" i="12" s="1"/>
  <c r="M62" i="12"/>
  <c r="M102" i="12" s="1"/>
  <c r="M142" i="12" s="1"/>
  <c r="K62" i="12"/>
  <c r="K102" i="12" s="1"/>
  <c r="K142" i="12" s="1"/>
  <c r="H62" i="12"/>
  <c r="H102" i="12" s="1"/>
  <c r="H142" i="12" s="1"/>
  <c r="B62" i="12"/>
  <c r="B102" i="12" s="1"/>
  <c r="B142" i="12" s="1"/>
  <c r="A62" i="12"/>
  <c r="A102" i="12" s="1"/>
  <c r="A142" i="12" s="1"/>
  <c r="P61" i="12"/>
  <c r="P101" i="12" s="1"/>
  <c r="P141" i="12" s="1"/>
  <c r="M61" i="12"/>
  <c r="M101" i="12" s="1"/>
  <c r="M141" i="12" s="1"/>
  <c r="K61" i="12"/>
  <c r="K101" i="12" s="1"/>
  <c r="K141" i="12" s="1"/>
  <c r="H61" i="12"/>
  <c r="H101" i="12" s="1"/>
  <c r="H141" i="12" s="1"/>
  <c r="B61" i="12"/>
  <c r="B101" i="12" s="1"/>
  <c r="B141" i="12" s="1"/>
  <c r="A61" i="12"/>
  <c r="A101" i="12" s="1"/>
  <c r="A141" i="12" s="1"/>
  <c r="P60" i="12"/>
  <c r="P100" i="12" s="1"/>
  <c r="P140" i="12" s="1"/>
  <c r="M60" i="12"/>
  <c r="M100" i="12" s="1"/>
  <c r="M140" i="12" s="1"/>
  <c r="K60" i="12"/>
  <c r="K100" i="12" s="1"/>
  <c r="K140" i="12" s="1"/>
  <c r="H60" i="12"/>
  <c r="H100" i="12" s="1"/>
  <c r="H140" i="12" s="1"/>
  <c r="B60" i="12"/>
  <c r="B100" i="12" s="1"/>
  <c r="B140" i="12" s="1"/>
  <c r="A60" i="12"/>
  <c r="A100" i="12" s="1"/>
  <c r="A140" i="12" s="1"/>
  <c r="P59" i="12"/>
  <c r="P99" i="12" s="1"/>
  <c r="P139" i="12" s="1"/>
  <c r="M59" i="12"/>
  <c r="M99" i="12" s="1"/>
  <c r="M139" i="12" s="1"/>
  <c r="K59" i="12"/>
  <c r="K99" i="12" s="1"/>
  <c r="K139" i="12" s="1"/>
  <c r="H59" i="12"/>
  <c r="H99" i="12" s="1"/>
  <c r="H139" i="12" s="1"/>
  <c r="B59" i="12"/>
  <c r="B99" i="12" s="1"/>
  <c r="B139" i="12" s="1"/>
  <c r="A59" i="12"/>
  <c r="A99" i="12" s="1"/>
  <c r="A139" i="12" s="1"/>
  <c r="P58" i="12"/>
  <c r="P98" i="12" s="1"/>
  <c r="P138" i="12" s="1"/>
  <c r="M58" i="12"/>
  <c r="M98" i="12" s="1"/>
  <c r="M138" i="12" s="1"/>
  <c r="K58" i="12"/>
  <c r="K98" i="12" s="1"/>
  <c r="K138" i="12" s="1"/>
  <c r="H58" i="12"/>
  <c r="H98" i="12" s="1"/>
  <c r="H138" i="12" s="1"/>
  <c r="B58" i="12"/>
  <c r="B98" i="12" s="1"/>
  <c r="B138" i="12" s="1"/>
  <c r="A58" i="12"/>
  <c r="A98" i="12" s="1"/>
  <c r="A138" i="12" s="1"/>
  <c r="P57" i="12"/>
  <c r="P97" i="12" s="1"/>
  <c r="P137" i="12" s="1"/>
  <c r="M57" i="12"/>
  <c r="M97" i="12" s="1"/>
  <c r="M137" i="12" s="1"/>
  <c r="K57" i="12"/>
  <c r="K97" i="12" s="1"/>
  <c r="K137" i="12" s="1"/>
  <c r="H57" i="12"/>
  <c r="H97" i="12" s="1"/>
  <c r="H137" i="12" s="1"/>
  <c r="B57" i="12"/>
  <c r="B97" i="12" s="1"/>
  <c r="B137" i="12" s="1"/>
  <c r="A57" i="12"/>
  <c r="A97" i="12" s="1"/>
  <c r="A137" i="12" s="1"/>
  <c r="P56" i="12"/>
  <c r="P96" i="12" s="1"/>
  <c r="P136" i="12" s="1"/>
  <c r="M56" i="12"/>
  <c r="M96" i="12" s="1"/>
  <c r="M136" i="12" s="1"/>
  <c r="K56" i="12"/>
  <c r="K96" i="12" s="1"/>
  <c r="K136" i="12" s="1"/>
  <c r="H56" i="12"/>
  <c r="H96" i="12" s="1"/>
  <c r="H136" i="12" s="1"/>
  <c r="B56" i="12"/>
  <c r="B96" i="12" s="1"/>
  <c r="B136" i="12" s="1"/>
  <c r="A56" i="12"/>
  <c r="A96" i="12" s="1"/>
  <c r="A136" i="12" s="1"/>
  <c r="P55" i="12"/>
  <c r="P95" i="12" s="1"/>
  <c r="P135" i="12" s="1"/>
  <c r="M55" i="12"/>
  <c r="M95" i="12" s="1"/>
  <c r="M135" i="12" s="1"/>
  <c r="K55" i="12"/>
  <c r="K95" i="12" s="1"/>
  <c r="H55" i="12"/>
  <c r="H95" i="12" s="1"/>
  <c r="B55" i="12"/>
  <c r="B95" i="12" s="1"/>
  <c r="B135" i="12" s="1"/>
  <c r="A55" i="12"/>
  <c r="A95" i="12" s="1"/>
  <c r="A135" i="12" s="1"/>
  <c r="C54" i="12"/>
  <c r="C94" i="12" s="1"/>
  <c r="C134" i="12" s="1"/>
  <c r="C53" i="12"/>
  <c r="C93" i="12" s="1"/>
  <c r="C133" i="12" s="1"/>
  <c r="B53" i="12"/>
  <c r="B93" i="12" s="1"/>
  <c r="B133" i="12" s="1"/>
  <c r="L49" i="12"/>
  <c r="L89" i="12" s="1"/>
  <c r="L129" i="12" s="1"/>
  <c r="L48" i="12"/>
  <c r="L88" i="12" s="1"/>
  <c r="L128" i="12" s="1"/>
  <c r="A48" i="12"/>
  <c r="A88" i="12" s="1"/>
  <c r="A128" i="12" s="1"/>
  <c r="L46" i="12"/>
  <c r="L86" i="12" s="1"/>
  <c r="L126" i="12" s="1"/>
  <c r="C46" i="12"/>
  <c r="C86" i="12" s="1"/>
  <c r="C126" i="12" s="1"/>
  <c r="M42" i="12"/>
  <c r="M82" i="12" s="1"/>
  <c r="M122" i="12" s="1"/>
  <c r="K35" i="12"/>
  <c r="H35" i="12"/>
  <c r="L47" i="12"/>
  <c r="L87" i="12" s="1"/>
  <c r="L127" i="12" s="1"/>
  <c r="M78" i="11"/>
  <c r="M118" i="11" s="1"/>
  <c r="M158" i="11" s="1"/>
  <c r="D78" i="11"/>
  <c r="D118" i="11" s="1"/>
  <c r="D158" i="11" s="1"/>
  <c r="M77" i="11"/>
  <c r="M117" i="11" s="1"/>
  <c r="M157" i="11" s="1"/>
  <c r="D77" i="11"/>
  <c r="D117" i="11" s="1"/>
  <c r="D157" i="11" s="1"/>
  <c r="P74" i="11"/>
  <c r="P114" i="11" s="1"/>
  <c r="P154" i="11" s="1"/>
  <c r="M74" i="11"/>
  <c r="M114" i="11" s="1"/>
  <c r="M154" i="11" s="1"/>
  <c r="K74" i="11"/>
  <c r="K114" i="11" s="1"/>
  <c r="K154" i="11" s="1"/>
  <c r="H74" i="11"/>
  <c r="H114" i="11" s="1"/>
  <c r="H154" i="11" s="1"/>
  <c r="B74" i="11"/>
  <c r="B114" i="11" s="1"/>
  <c r="B154" i="11" s="1"/>
  <c r="A74" i="11"/>
  <c r="A114" i="11" s="1"/>
  <c r="A154" i="11" s="1"/>
  <c r="P73" i="11"/>
  <c r="P113" i="11" s="1"/>
  <c r="P153" i="11" s="1"/>
  <c r="M73" i="11"/>
  <c r="M113" i="11" s="1"/>
  <c r="M153" i="11" s="1"/>
  <c r="K73" i="11"/>
  <c r="K113" i="11" s="1"/>
  <c r="K153" i="11" s="1"/>
  <c r="H73" i="11"/>
  <c r="H113" i="11" s="1"/>
  <c r="H153" i="11" s="1"/>
  <c r="B73" i="11"/>
  <c r="B113" i="11" s="1"/>
  <c r="B153" i="11" s="1"/>
  <c r="A73" i="11"/>
  <c r="A113" i="11" s="1"/>
  <c r="A153" i="11" s="1"/>
  <c r="P72" i="11"/>
  <c r="P112" i="11" s="1"/>
  <c r="P152" i="11" s="1"/>
  <c r="M72" i="11"/>
  <c r="M112" i="11" s="1"/>
  <c r="M152" i="11" s="1"/>
  <c r="K72" i="11"/>
  <c r="K112" i="11" s="1"/>
  <c r="K152" i="11" s="1"/>
  <c r="H72" i="11"/>
  <c r="H112" i="11" s="1"/>
  <c r="H152" i="11" s="1"/>
  <c r="B72" i="11"/>
  <c r="B112" i="11" s="1"/>
  <c r="B152" i="11" s="1"/>
  <c r="A72" i="11"/>
  <c r="A112" i="11" s="1"/>
  <c r="A152" i="11" s="1"/>
  <c r="P71" i="11"/>
  <c r="P111" i="11" s="1"/>
  <c r="P151" i="11" s="1"/>
  <c r="M71" i="11"/>
  <c r="M111" i="11" s="1"/>
  <c r="M151" i="11" s="1"/>
  <c r="K71" i="11"/>
  <c r="K111" i="11" s="1"/>
  <c r="K151" i="11" s="1"/>
  <c r="H71" i="11"/>
  <c r="H111" i="11" s="1"/>
  <c r="H151" i="11" s="1"/>
  <c r="B71" i="11"/>
  <c r="B111" i="11" s="1"/>
  <c r="B151" i="11" s="1"/>
  <c r="A71" i="11"/>
  <c r="A111" i="11" s="1"/>
  <c r="A151" i="11" s="1"/>
  <c r="P70" i="11"/>
  <c r="P110" i="11" s="1"/>
  <c r="P150" i="11" s="1"/>
  <c r="M70" i="11"/>
  <c r="M110" i="11" s="1"/>
  <c r="M150" i="11" s="1"/>
  <c r="K70" i="11"/>
  <c r="K110" i="11" s="1"/>
  <c r="K150" i="11" s="1"/>
  <c r="H70" i="11"/>
  <c r="H110" i="11" s="1"/>
  <c r="H150" i="11" s="1"/>
  <c r="B70" i="11"/>
  <c r="B110" i="11" s="1"/>
  <c r="B150" i="11" s="1"/>
  <c r="A70" i="11"/>
  <c r="A110" i="11" s="1"/>
  <c r="A150" i="11" s="1"/>
  <c r="P69" i="11"/>
  <c r="P109" i="11" s="1"/>
  <c r="P149" i="11" s="1"/>
  <c r="M69" i="11"/>
  <c r="M109" i="11" s="1"/>
  <c r="M149" i="11" s="1"/>
  <c r="K69" i="11"/>
  <c r="K109" i="11" s="1"/>
  <c r="K149" i="11" s="1"/>
  <c r="H69" i="11"/>
  <c r="H109" i="11" s="1"/>
  <c r="H149" i="11" s="1"/>
  <c r="B69" i="11"/>
  <c r="B109" i="11" s="1"/>
  <c r="B149" i="11" s="1"/>
  <c r="A69" i="11"/>
  <c r="A109" i="11" s="1"/>
  <c r="A149" i="11" s="1"/>
  <c r="P68" i="11"/>
  <c r="P108" i="11" s="1"/>
  <c r="P148" i="11" s="1"/>
  <c r="M68" i="11"/>
  <c r="M108" i="11" s="1"/>
  <c r="M148" i="11" s="1"/>
  <c r="K68" i="11"/>
  <c r="K108" i="11" s="1"/>
  <c r="K148" i="11" s="1"/>
  <c r="H68" i="11"/>
  <c r="H108" i="11" s="1"/>
  <c r="H148" i="11" s="1"/>
  <c r="B68" i="11"/>
  <c r="B108" i="11" s="1"/>
  <c r="B148" i="11" s="1"/>
  <c r="A68" i="11"/>
  <c r="A108" i="11" s="1"/>
  <c r="A148" i="11" s="1"/>
  <c r="P67" i="11"/>
  <c r="P107" i="11" s="1"/>
  <c r="P147" i="11" s="1"/>
  <c r="M67" i="11"/>
  <c r="M107" i="11" s="1"/>
  <c r="M147" i="11" s="1"/>
  <c r="K67" i="11"/>
  <c r="K107" i="11" s="1"/>
  <c r="K147" i="11" s="1"/>
  <c r="H67" i="11"/>
  <c r="H107" i="11" s="1"/>
  <c r="H147" i="11" s="1"/>
  <c r="B67" i="11"/>
  <c r="B107" i="11" s="1"/>
  <c r="B147" i="11" s="1"/>
  <c r="A67" i="11"/>
  <c r="A107" i="11" s="1"/>
  <c r="A147" i="11" s="1"/>
  <c r="P66" i="11"/>
  <c r="P106" i="11" s="1"/>
  <c r="P146" i="11" s="1"/>
  <c r="M66" i="11"/>
  <c r="M106" i="11" s="1"/>
  <c r="M146" i="11" s="1"/>
  <c r="K66" i="11"/>
  <c r="K106" i="11" s="1"/>
  <c r="K146" i="11" s="1"/>
  <c r="H66" i="11"/>
  <c r="H106" i="11" s="1"/>
  <c r="H146" i="11" s="1"/>
  <c r="B66" i="11"/>
  <c r="B106" i="11" s="1"/>
  <c r="B146" i="11" s="1"/>
  <c r="A66" i="11"/>
  <c r="A106" i="11" s="1"/>
  <c r="A146" i="11" s="1"/>
  <c r="P65" i="11"/>
  <c r="P105" i="11" s="1"/>
  <c r="P145" i="11" s="1"/>
  <c r="M65" i="11"/>
  <c r="M105" i="11" s="1"/>
  <c r="M145" i="11" s="1"/>
  <c r="K65" i="11"/>
  <c r="K105" i="11" s="1"/>
  <c r="K145" i="11" s="1"/>
  <c r="H65" i="11"/>
  <c r="H105" i="11" s="1"/>
  <c r="H145" i="11" s="1"/>
  <c r="B65" i="11"/>
  <c r="B105" i="11" s="1"/>
  <c r="B145" i="11" s="1"/>
  <c r="A65" i="11"/>
  <c r="A105" i="11" s="1"/>
  <c r="A145" i="11" s="1"/>
  <c r="P64" i="11"/>
  <c r="P104" i="11" s="1"/>
  <c r="P144" i="11" s="1"/>
  <c r="M64" i="11"/>
  <c r="M104" i="11" s="1"/>
  <c r="M144" i="11" s="1"/>
  <c r="K64" i="11"/>
  <c r="K104" i="11" s="1"/>
  <c r="K144" i="11" s="1"/>
  <c r="H64" i="11"/>
  <c r="H104" i="11" s="1"/>
  <c r="H144" i="11" s="1"/>
  <c r="B64" i="11"/>
  <c r="B104" i="11" s="1"/>
  <c r="B144" i="11" s="1"/>
  <c r="A64" i="11"/>
  <c r="A104" i="11" s="1"/>
  <c r="A144" i="11" s="1"/>
  <c r="P63" i="11"/>
  <c r="P103" i="11" s="1"/>
  <c r="P143" i="11" s="1"/>
  <c r="M63" i="11"/>
  <c r="M103" i="11" s="1"/>
  <c r="M143" i="11" s="1"/>
  <c r="K63" i="11"/>
  <c r="K103" i="11" s="1"/>
  <c r="K143" i="11" s="1"/>
  <c r="H63" i="11"/>
  <c r="H103" i="11" s="1"/>
  <c r="H143" i="11" s="1"/>
  <c r="B63" i="11"/>
  <c r="B103" i="11" s="1"/>
  <c r="B143" i="11" s="1"/>
  <c r="A63" i="11"/>
  <c r="A103" i="11" s="1"/>
  <c r="A143" i="11" s="1"/>
  <c r="P62" i="11"/>
  <c r="P102" i="11" s="1"/>
  <c r="P142" i="11" s="1"/>
  <c r="M62" i="11"/>
  <c r="M102" i="11" s="1"/>
  <c r="M142" i="11" s="1"/>
  <c r="K62" i="11"/>
  <c r="K102" i="11" s="1"/>
  <c r="K142" i="11" s="1"/>
  <c r="H62" i="11"/>
  <c r="H102" i="11" s="1"/>
  <c r="H142" i="11" s="1"/>
  <c r="B62" i="11"/>
  <c r="B102" i="11" s="1"/>
  <c r="B142" i="11" s="1"/>
  <c r="A62" i="11"/>
  <c r="A102" i="11" s="1"/>
  <c r="A142" i="11" s="1"/>
  <c r="P61" i="11"/>
  <c r="P101" i="11" s="1"/>
  <c r="P141" i="11" s="1"/>
  <c r="M61" i="11"/>
  <c r="M101" i="11" s="1"/>
  <c r="M141" i="11" s="1"/>
  <c r="K61" i="11"/>
  <c r="K101" i="11" s="1"/>
  <c r="K141" i="11" s="1"/>
  <c r="H61" i="11"/>
  <c r="H101" i="11" s="1"/>
  <c r="H141" i="11" s="1"/>
  <c r="B61" i="11"/>
  <c r="B101" i="11" s="1"/>
  <c r="B141" i="11" s="1"/>
  <c r="A61" i="11"/>
  <c r="A101" i="11" s="1"/>
  <c r="A141" i="11" s="1"/>
  <c r="P60" i="11"/>
  <c r="P100" i="11" s="1"/>
  <c r="P140" i="11" s="1"/>
  <c r="M60" i="11"/>
  <c r="M100" i="11" s="1"/>
  <c r="M140" i="11" s="1"/>
  <c r="K60" i="11"/>
  <c r="K100" i="11" s="1"/>
  <c r="K140" i="11" s="1"/>
  <c r="H60" i="11"/>
  <c r="H100" i="11" s="1"/>
  <c r="H140" i="11" s="1"/>
  <c r="B60" i="11"/>
  <c r="B100" i="11" s="1"/>
  <c r="B140" i="11" s="1"/>
  <c r="A60" i="11"/>
  <c r="A100" i="11" s="1"/>
  <c r="A140" i="11" s="1"/>
  <c r="P59" i="11"/>
  <c r="P99" i="11" s="1"/>
  <c r="P139" i="11" s="1"/>
  <c r="M59" i="11"/>
  <c r="M99" i="11" s="1"/>
  <c r="M139" i="11" s="1"/>
  <c r="K59" i="11"/>
  <c r="K99" i="11" s="1"/>
  <c r="K139" i="11" s="1"/>
  <c r="H59" i="11"/>
  <c r="H99" i="11" s="1"/>
  <c r="H139" i="11" s="1"/>
  <c r="B59" i="11"/>
  <c r="B99" i="11" s="1"/>
  <c r="B139" i="11" s="1"/>
  <c r="A59" i="11"/>
  <c r="A99" i="11" s="1"/>
  <c r="A139" i="11" s="1"/>
  <c r="P58" i="11"/>
  <c r="P98" i="11" s="1"/>
  <c r="P138" i="11" s="1"/>
  <c r="M58" i="11"/>
  <c r="M98" i="11" s="1"/>
  <c r="M138" i="11" s="1"/>
  <c r="K58" i="11"/>
  <c r="K98" i="11" s="1"/>
  <c r="K138" i="11" s="1"/>
  <c r="H58" i="11"/>
  <c r="H98" i="11" s="1"/>
  <c r="H138" i="11" s="1"/>
  <c r="B58" i="11"/>
  <c r="B98" i="11" s="1"/>
  <c r="B138" i="11" s="1"/>
  <c r="A58" i="11"/>
  <c r="A98" i="11" s="1"/>
  <c r="A138" i="11" s="1"/>
  <c r="P57" i="11"/>
  <c r="P97" i="11" s="1"/>
  <c r="P137" i="11" s="1"/>
  <c r="M57" i="11"/>
  <c r="M97" i="11" s="1"/>
  <c r="M137" i="11" s="1"/>
  <c r="K57" i="11"/>
  <c r="K97" i="11" s="1"/>
  <c r="K137" i="11" s="1"/>
  <c r="H57" i="11"/>
  <c r="H97" i="11" s="1"/>
  <c r="H137" i="11" s="1"/>
  <c r="B57" i="11"/>
  <c r="B97" i="11" s="1"/>
  <c r="B137" i="11" s="1"/>
  <c r="A57" i="11"/>
  <c r="A97" i="11" s="1"/>
  <c r="A137" i="11" s="1"/>
  <c r="P56" i="11"/>
  <c r="P96" i="11" s="1"/>
  <c r="P136" i="11" s="1"/>
  <c r="M56" i="11"/>
  <c r="M96" i="11" s="1"/>
  <c r="M136" i="11" s="1"/>
  <c r="K56" i="11"/>
  <c r="K96" i="11" s="1"/>
  <c r="K136" i="11" s="1"/>
  <c r="H56" i="11"/>
  <c r="B56" i="11"/>
  <c r="B96" i="11" s="1"/>
  <c r="B136" i="11" s="1"/>
  <c r="A56" i="11"/>
  <c r="A96" i="11" s="1"/>
  <c r="A136" i="11" s="1"/>
  <c r="P55" i="11"/>
  <c r="P95" i="11" s="1"/>
  <c r="P135" i="11" s="1"/>
  <c r="M55" i="11"/>
  <c r="M95" i="11" s="1"/>
  <c r="M135" i="11" s="1"/>
  <c r="K55" i="11"/>
  <c r="K95" i="11" s="1"/>
  <c r="H55" i="11"/>
  <c r="H95" i="11" s="1"/>
  <c r="B55" i="11"/>
  <c r="B95" i="11" s="1"/>
  <c r="B135" i="11" s="1"/>
  <c r="A55" i="11"/>
  <c r="A95" i="11" s="1"/>
  <c r="A135" i="11" s="1"/>
  <c r="C54" i="11"/>
  <c r="C94" i="11" s="1"/>
  <c r="C134" i="11" s="1"/>
  <c r="C53" i="11"/>
  <c r="C93" i="11" s="1"/>
  <c r="C133" i="11" s="1"/>
  <c r="B53" i="11"/>
  <c r="B93" i="11" s="1"/>
  <c r="B133" i="11" s="1"/>
  <c r="L49" i="11"/>
  <c r="L89" i="11" s="1"/>
  <c r="L129" i="11" s="1"/>
  <c r="L48" i="11"/>
  <c r="L88" i="11" s="1"/>
  <c r="L128" i="11" s="1"/>
  <c r="A48" i="11"/>
  <c r="A88" i="11" s="1"/>
  <c r="A128" i="11" s="1"/>
  <c r="L46" i="11"/>
  <c r="L86" i="11" s="1"/>
  <c r="L126" i="11" s="1"/>
  <c r="C46" i="11"/>
  <c r="C86" i="11" s="1"/>
  <c r="C126" i="11" s="1"/>
  <c r="M42" i="11"/>
  <c r="M82" i="11" s="1"/>
  <c r="M122" i="11" s="1"/>
  <c r="K35" i="11"/>
  <c r="H35" i="11"/>
  <c r="L47" i="11"/>
  <c r="L87" i="11" s="1"/>
  <c r="L127" i="11" s="1"/>
  <c r="M78" i="10"/>
  <c r="M118" i="10" s="1"/>
  <c r="M158" i="10" s="1"/>
  <c r="D78" i="10"/>
  <c r="D118" i="10" s="1"/>
  <c r="D158" i="10" s="1"/>
  <c r="M77" i="10"/>
  <c r="M117" i="10" s="1"/>
  <c r="M157" i="10" s="1"/>
  <c r="D77" i="10"/>
  <c r="D117" i="10" s="1"/>
  <c r="D157" i="10" s="1"/>
  <c r="P74" i="10"/>
  <c r="P114" i="10" s="1"/>
  <c r="P154" i="10" s="1"/>
  <c r="M74" i="10"/>
  <c r="M114" i="10" s="1"/>
  <c r="M154" i="10" s="1"/>
  <c r="K74" i="10"/>
  <c r="K114" i="10" s="1"/>
  <c r="K154" i="10" s="1"/>
  <c r="H74" i="10"/>
  <c r="H114" i="10" s="1"/>
  <c r="H154" i="10" s="1"/>
  <c r="B74" i="10"/>
  <c r="B114" i="10" s="1"/>
  <c r="B154" i="10" s="1"/>
  <c r="A74" i="10"/>
  <c r="A114" i="10" s="1"/>
  <c r="A154" i="10" s="1"/>
  <c r="P73" i="10"/>
  <c r="P113" i="10" s="1"/>
  <c r="P153" i="10" s="1"/>
  <c r="M73" i="10"/>
  <c r="M113" i="10" s="1"/>
  <c r="M153" i="10" s="1"/>
  <c r="K73" i="10"/>
  <c r="K113" i="10" s="1"/>
  <c r="K153" i="10" s="1"/>
  <c r="H73" i="10"/>
  <c r="H113" i="10" s="1"/>
  <c r="H153" i="10" s="1"/>
  <c r="B73" i="10"/>
  <c r="B113" i="10" s="1"/>
  <c r="B153" i="10" s="1"/>
  <c r="A73" i="10"/>
  <c r="A113" i="10" s="1"/>
  <c r="A153" i="10" s="1"/>
  <c r="P72" i="10"/>
  <c r="P112" i="10" s="1"/>
  <c r="P152" i="10" s="1"/>
  <c r="M72" i="10"/>
  <c r="M112" i="10" s="1"/>
  <c r="M152" i="10" s="1"/>
  <c r="K72" i="10"/>
  <c r="K112" i="10" s="1"/>
  <c r="K152" i="10" s="1"/>
  <c r="H72" i="10"/>
  <c r="H112" i="10" s="1"/>
  <c r="H152" i="10" s="1"/>
  <c r="B72" i="10"/>
  <c r="B112" i="10" s="1"/>
  <c r="B152" i="10" s="1"/>
  <c r="A72" i="10"/>
  <c r="A112" i="10" s="1"/>
  <c r="A152" i="10" s="1"/>
  <c r="P71" i="10"/>
  <c r="P111" i="10" s="1"/>
  <c r="P151" i="10" s="1"/>
  <c r="M71" i="10"/>
  <c r="M111" i="10" s="1"/>
  <c r="M151" i="10" s="1"/>
  <c r="K71" i="10"/>
  <c r="K111" i="10" s="1"/>
  <c r="K151" i="10" s="1"/>
  <c r="H71" i="10"/>
  <c r="H111" i="10" s="1"/>
  <c r="H151" i="10" s="1"/>
  <c r="B71" i="10"/>
  <c r="B111" i="10" s="1"/>
  <c r="B151" i="10" s="1"/>
  <c r="A71" i="10"/>
  <c r="A111" i="10" s="1"/>
  <c r="A151" i="10" s="1"/>
  <c r="P70" i="10"/>
  <c r="P110" i="10" s="1"/>
  <c r="P150" i="10" s="1"/>
  <c r="M70" i="10"/>
  <c r="M110" i="10" s="1"/>
  <c r="M150" i="10" s="1"/>
  <c r="K70" i="10"/>
  <c r="K110" i="10" s="1"/>
  <c r="K150" i="10" s="1"/>
  <c r="H70" i="10"/>
  <c r="H110" i="10" s="1"/>
  <c r="H150" i="10" s="1"/>
  <c r="B70" i="10"/>
  <c r="B110" i="10" s="1"/>
  <c r="B150" i="10" s="1"/>
  <c r="A70" i="10"/>
  <c r="A110" i="10" s="1"/>
  <c r="A150" i="10" s="1"/>
  <c r="P69" i="10"/>
  <c r="P109" i="10" s="1"/>
  <c r="P149" i="10" s="1"/>
  <c r="M69" i="10"/>
  <c r="M109" i="10" s="1"/>
  <c r="M149" i="10" s="1"/>
  <c r="K69" i="10"/>
  <c r="K109" i="10" s="1"/>
  <c r="K149" i="10" s="1"/>
  <c r="H69" i="10"/>
  <c r="H109" i="10" s="1"/>
  <c r="H149" i="10" s="1"/>
  <c r="B69" i="10"/>
  <c r="B109" i="10" s="1"/>
  <c r="B149" i="10" s="1"/>
  <c r="A69" i="10"/>
  <c r="A109" i="10" s="1"/>
  <c r="A149" i="10" s="1"/>
  <c r="P68" i="10"/>
  <c r="P108" i="10" s="1"/>
  <c r="P148" i="10" s="1"/>
  <c r="M68" i="10"/>
  <c r="M108" i="10" s="1"/>
  <c r="M148" i="10" s="1"/>
  <c r="K68" i="10"/>
  <c r="K108" i="10" s="1"/>
  <c r="K148" i="10" s="1"/>
  <c r="H68" i="10"/>
  <c r="H108" i="10" s="1"/>
  <c r="H148" i="10" s="1"/>
  <c r="B68" i="10"/>
  <c r="B108" i="10" s="1"/>
  <c r="B148" i="10" s="1"/>
  <c r="A68" i="10"/>
  <c r="A108" i="10" s="1"/>
  <c r="A148" i="10" s="1"/>
  <c r="P67" i="10"/>
  <c r="P107" i="10" s="1"/>
  <c r="P147" i="10" s="1"/>
  <c r="M67" i="10"/>
  <c r="M107" i="10" s="1"/>
  <c r="M147" i="10" s="1"/>
  <c r="K67" i="10"/>
  <c r="K107" i="10" s="1"/>
  <c r="K147" i="10" s="1"/>
  <c r="H67" i="10"/>
  <c r="H107" i="10" s="1"/>
  <c r="H147" i="10" s="1"/>
  <c r="B67" i="10"/>
  <c r="B107" i="10" s="1"/>
  <c r="B147" i="10" s="1"/>
  <c r="A67" i="10"/>
  <c r="A107" i="10" s="1"/>
  <c r="A147" i="10" s="1"/>
  <c r="P66" i="10"/>
  <c r="P106" i="10" s="1"/>
  <c r="P146" i="10" s="1"/>
  <c r="M66" i="10"/>
  <c r="M106" i="10" s="1"/>
  <c r="M146" i="10" s="1"/>
  <c r="K66" i="10"/>
  <c r="K106" i="10" s="1"/>
  <c r="K146" i="10" s="1"/>
  <c r="H66" i="10"/>
  <c r="H106" i="10" s="1"/>
  <c r="H146" i="10" s="1"/>
  <c r="B66" i="10"/>
  <c r="B106" i="10" s="1"/>
  <c r="B146" i="10" s="1"/>
  <c r="A66" i="10"/>
  <c r="A106" i="10" s="1"/>
  <c r="A146" i="10" s="1"/>
  <c r="P65" i="10"/>
  <c r="P105" i="10" s="1"/>
  <c r="P145" i="10" s="1"/>
  <c r="M65" i="10"/>
  <c r="M105" i="10" s="1"/>
  <c r="M145" i="10" s="1"/>
  <c r="K65" i="10"/>
  <c r="K105" i="10" s="1"/>
  <c r="K145" i="10" s="1"/>
  <c r="H65" i="10"/>
  <c r="H105" i="10" s="1"/>
  <c r="H145" i="10" s="1"/>
  <c r="B65" i="10"/>
  <c r="B105" i="10" s="1"/>
  <c r="B145" i="10" s="1"/>
  <c r="A65" i="10"/>
  <c r="A105" i="10" s="1"/>
  <c r="A145" i="10" s="1"/>
  <c r="P64" i="10"/>
  <c r="P104" i="10" s="1"/>
  <c r="P144" i="10" s="1"/>
  <c r="M64" i="10"/>
  <c r="M104" i="10" s="1"/>
  <c r="M144" i="10" s="1"/>
  <c r="K64" i="10"/>
  <c r="K104" i="10" s="1"/>
  <c r="K144" i="10" s="1"/>
  <c r="H64" i="10"/>
  <c r="H104" i="10" s="1"/>
  <c r="H144" i="10" s="1"/>
  <c r="B64" i="10"/>
  <c r="B104" i="10" s="1"/>
  <c r="B144" i="10" s="1"/>
  <c r="A64" i="10"/>
  <c r="A104" i="10" s="1"/>
  <c r="A144" i="10" s="1"/>
  <c r="P63" i="10"/>
  <c r="P103" i="10" s="1"/>
  <c r="P143" i="10" s="1"/>
  <c r="M63" i="10"/>
  <c r="M103" i="10" s="1"/>
  <c r="M143" i="10" s="1"/>
  <c r="K63" i="10"/>
  <c r="K103" i="10" s="1"/>
  <c r="K143" i="10" s="1"/>
  <c r="H63" i="10"/>
  <c r="H103" i="10" s="1"/>
  <c r="H143" i="10" s="1"/>
  <c r="B63" i="10"/>
  <c r="B103" i="10" s="1"/>
  <c r="B143" i="10" s="1"/>
  <c r="A63" i="10"/>
  <c r="A103" i="10" s="1"/>
  <c r="A143" i="10" s="1"/>
  <c r="P62" i="10"/>
  <c r="P102" i="10" s="1"/>
  <c r="P142" i="10" s="1"/>
  <c r="M62" i="10"/>
  <c r="M102" i="10" s="1"/>
  <c r="M142" i="10" s="1"/>
  <c r="K62" i="10"/>
  <c r="K102" i="10" s="1"/>
  <c r="K142" i="10" s="1"/>
  <c r="H62" i="10"/>
  <c r="H102" i="10" s="1"/>
  <c r="H142" i="10" s="1"/>
  <c r="B62" i="10"/>
  <c r="B102" i="10" s="1"/>
  <c r="B142" i="10" s="1"/>
  <c r="A62" i="10"/>
  <c r="A102" i="10" s="1"/>
  <c r="A142" i="10" s="1"/>
  <c r="P61" i="10"/>
  <c r="P101" i="10" s="1"/>
  <c r="P141" i="10" s="1"/>
  <c r="M61" i="10"/>
  <c r="M101" i="10" s="1"/>
  <c r="M141" i="10" s="1"/>
  <c r="K61" i="10"/>
  <c r="K101" i="10" s="1"/>
  <c r="K141" i="10" s="1"/>
  <c r="H61" i="10"/>
  <c r="H101" i="10" s="1"/>
  <c r="H141" i="10" s="1"/>
  <c r="B61" i="10"/>
  <c r="B101" i="10" s="1"/>
  <c r="B141" i="10" s="1"/>
  <c r="A61" i="10"/>
  <c r="A101" i="10" s="1"/>
  <c r="A141" i="10" s="1"/>
  <c r="P60" i="10"/>
  <c r="P100" i="10" s="1"/>
  <c r="P140" i="10" s="1"/>
  <c r="M60" i="10"/>
  <c r="M100" i="10" s="1"/>
  <c r="M140" i="10" s="1"/>
  <c r="K60" i="10"/>
  <c r="K100" i="10" s="1"/>
  <c r="K140" i="10" s="1"/>
  <c r="H60" i="10"/>
  <c r="H100" i="10" s="1"/>
  <c r="H140" i="10" s="1"/>
  <c r="B60" i="10"/>
  <c r="B100" i="10" s="1"/>
  <c r="B140" i="10" s="1"/>
  <c r="A60" i="10"/>
  <c r="A100" i="10" s="1"/>
  <c r="A140" i="10" s="1"/>
  <c r="P59" i="10"/>
  <c r="P99" i="10" s="1"/>
  <c r="P139" i="10" s="1"/>
  <c r="M59" i="10"/>
  <c r="M99" i="10" s="1"/>
  <c r="M139" i="10" s="1"/>
  <c r="K59" i="10"/>
  <c r="K99" i="10" s="1"/>
  <c r="K139" i="10" s="1"/>
  <c r="H59" i="10"/>
  <c r="H99" i="10" s="1"/>
  <c r="H139" i="10" s="1"/>
  <c r="B59" i="10"/>
  <c r="B99" i="10" s="1"/>
  <c r="B139" i="10" s="1"/>
  <c r="A59" i="10"/>
  <c r="A99" i="10" s="1"/>
  <c r="A139" i="10" s="1"/>
  <c r="P58" i="10"/>
  <c r="P98" i="10" s="1"/>
  <c r="P138" i="10" s="1"/>
  <c r="M58" i="10"/>
  <c r="M98" i="10" s="1"/>
  <c r="M138" i="10" s="1"/>
  <c r="K58" i="10"/>
  <c r="K98" i="10" s="1"/>
  <c r="K138" i="10" s="1"/>
  <c r="H58" i="10"/>
  <c r="H98" i="10" s="1"/>
  <c r="H138" i="10" s="1"/>
  <c r="B58" i="10"/>
  <c r="B98" i="10" s="1"/>
  <c r="B138" i="10" s="1"/>
  <c r="A58" i="10"/>
  <c r="A98" i="10" s="1"/>
  <c r="A138" i="10" s="1"/>
  <c r="P57" i="10"/>
  <c r="P97" i="10" s="1"/>
  <c r="P137" i="10" s="1"/>
  <c r="M57" i="10"/>
  <c r="M97" i="10" s="1"/>
  <c r="M137" i="10" s="1"/>
  <c r="K57" i="10"/>
  <c r="K97" i="10" s="1"/>
  <c r="K137" i="10" s="1"/>
  <c r="H57" i="10"/>
  <c r="H97" i="10" s="1"/>
  <c r="H137" i="10" s="1"/>
  <c r="B57" i="10"/>
  <c r="B97" i="10" s="1"/>
  <c r="B137" i="10" s="1"/>
  <c r="A57" i="10"/>
  <c r="A97" i="10" s="1"/>
  <c r="A137" i="10" s="1"/>
  <c r="P56" i="10"/>
  <c r="P96" i="10" s="1"/>
  <c r="P136" i="10" s="1"/>
  <c r="M56" i="10"/>
  <c r="M96" i="10" s="1"/>
  <c r="M136" i="10" s="1"/>
  <c r="K56" i="10"/>
  <c r="K96" i="10" s="1"/>
  <c r="K136" i="10" s="1"/>
  <c r="H56" i="10"/>
  <c r="H96" i="10" s="1"/>
  <c r="H136" i="10" s="1"/>
  <c r="B56" i="10"/>
  <c r="B96" i="10" s="1"/>
  <c r="B136" i="10" s="1"/>
  <c r="A56" i="10"/>
  <c r="A96" i="10" s="1"/>
  <c r="A136" i="10" s="1"/>
  <c r="P55" i="10"/>
  <c r="P95" i="10" s="1"/>
  <c r="P135" i="10" s="1"/>
  <c r="M55" i="10"/>
  <c r="M95" i="10" s="1"/>
  <c r="M135" i="10" s="1"/>
  <c r="K55" i="10"/>
  <c r="K95" i="10" s="1"/>
  <c r="H55" i="10"/>
  <c r="H95" i="10" s="1"/>
  <c r="B55" i="10"/>
  <c r="B95" i="10" s="1"/>
  <c r="B135" i="10" s="1"/>
  <c r="A55" i="10"/>
  <c r="A95" i="10" s="1"/>
  <c r="A135" i="10" s="1"/>
  <c r="C54" i="10"/>
  <c r="C94" i="10" s="1"/>
  <c r="C134" i="10" s="1"/>
  <c r="C53" i="10"/>
  <c r="C93" i="10" s="1"/>
  <c r="C133" i="10" s="1"/>
  <c r="B53" i="10"/>
  <c r="B93" i="10" s="1"/>
  <c r="B133" i="10" s="1"/>
  <c r="L49" i="10"/>
  <c r="L89" i="10" s="1"/>
  <c r="L129" i="10" s="1"/>
  <c r="L48" i="10"/>
  <c r="L88" i="10" s="1"/>
  <c r="L128" i="10" s="1"/>
  <c r="A48" i="10"/>
  <c r="A88" i="10" s="1"/>
  <c r="A128" i="10" s="1"/>
  <c r="L46" i="10"/>
  <c r="L86" i="10" s="1"/>
  <c r="L126" i="10" s="1"/>
  <c r="C46" i="10"/>
  <c r="C86" i="10" s="1"/>
  <c r="C126" i="10" s="1"/>
  <c r="M42" i="10"/>
  <c r="M82" i="10" s="1"/>
  <c r="M122" i="10" s="1"/>
  <c r="K35" i="10"/>
  <c r="H35" i="10"/>
  <c r="L47" i="10"/>
  <c r="L87" i="10" s="1"/>
  <c r="L127" i="10" s="1"/>
  <c r="H75" i="11" l="1"/>
  <c r="H135" i="22"/>
  <c r="H155" i="22" s="1"/>
  <c r="H115" i="22"/>
  <c r="K135" i="22"/>
  <c r="K155" i="22" s="1"/>
  <c r="K115" i="22"/>
  <c r="H75" i="22"/>
  <c r="K75" i="22"/>
  <c r="H135" i="21"/>
  <c r="H155" i="21" s="1"/>
  <c r="H115" i="21"/>
  <c r="K135" i="21"/>
  <c r="K155" i="21" s="1"/>
  <c r="K115" i="21"/>
  <c r="H75" i="21"/>
  <c r="K75" i="21"/>
  <c r="H135" i="19"/>
  <c r="H155" i="19" s="1"/>
  <c r="H115" i="19"/>
  <c r="K135" i="19"/>
  <c r="K155" i="19" s="1"/>
  <c r="K115" i="19"/>
  <c r="H75" i="19"/>
  <c r="K75" i="19"/>
  <c r="H135" i="18"/>
  <c r="H155" i="18" s="1"/>
  <c r="H115" i="18"/>
  <c r="K135" i="18"/>
  <c r="K155" i="18" s="1"/>
  <c r="K115" i="18"/>
  <c r="H75" i="18"/>
  <c r="K75" i="18"/>
  <c r="K135" i="17"/>
  <c r="K155" i="17" s="1"/>
  <c r="K115" i="17"/>
  <c r="H135" i="17"/>
  <c r="H155" i="17" s="1"/>
  <c r="H115" i="17"/>
  <c r="H75" i="17"/>
  <c r="K75" i="17"/>
  <c r="H135" i="16"/>
  <c r="H155" i="16" s="1"/>
  <c r="H115" i="16"/>
  <c r="K135" i="16"/>
  <c r="K155" i="16" s="1"/>
  <c r="K115" i="16"/>
  <c r="H75" i="16"/>
  <c r="K75" i="16"/>
  <c r="H135" i="15"/>
  <c r="H155" i="15" s="1"/>
  <c r="H115" i="15"/>
  <c r="K135" i="15"/>
  <c r="K155" i="15" s="1"/>
  <c r="K115" i="15"/>
  <c r="H75" i="15"/>
  <c r="K75" i="15"/>
  <c r="H135" i="14"/>
  <c r="H155" i="14" s="1"/>
  <c r="H115" i="14"/>
  <c r="K135" i="14"/>
  <c r="K155" i="14" s="1"/>
  <c r="K115" i="14"/>
  <c r="H75" i="14"/>
  <c r="K75" i="14"/>
  <c r="H135" i="13"/>
  <c r="H155" i="13" s="1"/>
  <c r="H115" i="13"/>
  <c r="K135" i="13"/>
  <c r="K155" i="13" s="1"/>
  <c r="K115" i="13"/>
  <c r="H75" i="13"/>
  <c r="K75" i="13"/>
  <c r="H135" i="12"/>
  <c r="H155" i="12" s="1"/>
  <c r="H115" i="12"/>
  <c r="K135" i="12"/>
  <c r="K155" i="12" s="1"/>
  <c r="K115" i="12"/>
  <c r="H75" i="12"/>
  <c r="K75" i="12"/>
  <c r="H135" i="11"/>
  <c r="K135" i="11"/>
  <c r="K155" i="11" s="1"/>
  <c r="K115" i="11"/>
  <c r="H96" i="11"/>
  <c r="H136" i="11" s="1"/>
  <c r="K75" i="11"/>
  <c r="H135" i="10"/>
  <c r="H155" i="10" s="1"/>
  <c r="H115" i="10"/>
  <c r="K115" i="10"/>
  <c r="K135" i="10"/>
  <c r="K155" i="10" s="1"/>
  <c r="H75" i="10"/>
  <c r="K75" i="10"/>
  <c r="M78" i="9"/>
  <c r="M118" i="9" s="1"/>
  <c r="M158" i="9" s="1"/>
  <c r="D78" i="9"/>
  <c r="D118" i="9" s="1"/>
  <c r="D158" i="9" s="1"/>
  <c r="M77" i="9"/>
  <c r="M117" i="9" s="1"/>
  <c r="M157" i="9" s="1"/>
  <c r="D77" i="9"/>
  <c r="D117" i="9" s="1"/>
  <c r="D157" i="9" s="1"/>
  <c r="P74" i="9"/>
  <c r="P114" i="9" s="1"/>
  <c r="P154" i="9" s="1"/>
  <c r="M74" i="9"/>
  <c r="M114" i="9" s="1"/>
  <c r="M154" i="9" s="1"/>
  <c r="K74" i="9"/>
  <c r="K114" i="9" s="1"/>
  <c r="K154" i="9" s="1"/>
  <c r="H74" i="9"/>
  <c r="H114" i="9" s="1"/>
  <c r="H154" i="9" s="1"/>
  <c r="B74" i="9"/>
  <c r="B114" i="9" s="1"/>
  <c r="B154" i="9" s="1"/>
  <c r="A74" i="9"/>
  <c r="A114" i="9" s="1"/>
  <c r="A154" i="9" s="1"/>
  <c r="P73" i="9"/>
  <c r="P113" i="9" s="1"/>
  <c r="P153" i="9" s="1"/>
  <c r="M73" i="9"/>
  <c r="M113" i="9" s="1"/>
  <c r="M153" i="9" s="1"/>
  <c r="K73" i="9"/>
  <c r="K113" i="9" s="1"/>
  <c r="K153" i="9" s="1"/>
  <c r="H73" i="9"/>
  <c r="H113" i="9" s="1"/>
  <c r="H153" i="9" s="1"/>
  <c r="B73" i="9"/>
  <c r="B113" i="9" s="1"/>
  <c r="B153" i="9" s="1"/>
  <c r="A73" i="9"/>
  <c r="A113" i="9" s="1"/>
  <c r="A153" i="9" s="1"/>
  <c r="P72" i="9"/>
  <c r="P112" i="9" s="1"/>
  <c r="P152" i="9" s="1"/>
  <c r="M72" i="9"/>
  <c r="M112" i="9" s="1"/>
  <c r="M152" i="9" s="1"/>
  <c r="K72" i="9"/>
  <c r="K112" i="9" s="1"/>
  <c r="K152" i="9" s="1"/>
  <c r="H72" i="9"/>
  <c r="H112" i="9" s="1"/>
  <c r="H152" i="9" s="1"/>
  <c r="B72" i="9"/>
  <c r="B112" i="9" s="1"/>
  <c r="B152" i="9" s="1"/>
  <c r="A72" i="9"/>
  <c r="A112" i="9" s="1"/>
  <c r="A152" i="9" s="1"/>
  <c r="P71" i="9"/>
  <c r="P111" i="9" s="1"/>
  <c r="P151" i="9" s="1"/>
  <c r="M71" i="9"/>
  <c r="M111" i="9" s="1"/>
  <c r="M151" i="9" s="1"/>
  <c r="K71" i="9"/>
  <c r="K111" i="9" s="1"/>
  <c r="K151" i="9" s="1"/>
  <c r="H71" i="9"/>
  <c r="H111" i="9" s="1"/>
  <c r="H151" i="9" s="1"/>
  <c r="B71" i="9"/>
  <c r="B111" i="9" s="1"/>
  <c r="B151" i="9" s="1"/>
  <c r="A71" i="9"/>
  <c r="A111" i="9" s="1"/>
  <c r="A151" i="9" s="1"/>
  <c r="P70" i="9"/>
  <c r="P110" i="9" s="1"/>
  <c r="P150" i="9" s="1"/>
  <c r="M70" i="9"/>
  <c r="M110" i="9" s="1"/>
  <c r="M150" i="9" s="1"/>
  <c r="K70" i="9"/>
  <c r="K110" i="9" s="1"/>
  <c r="K150" i="9" s="1"/>
  <c r="H70" i="9"/>
  <c r="H110" i="9" s="1"/>
  <c r="H150" i="9" s="1"/>
  <c r="B70" i="9"/>
  <c r="B110" i="9" s="1"/>
  <c r="B150" i="9" s="1"/>
  <c r="A70" i="9"/>
  <c r="A110" i="9" s="1"/>
  <c r="A150" i="9" s="1"/>
  <c r="P69" i="9"/>
  <c r="P109" i="9" s="1"/>
  <c r="P149" i="9" s="1"/>
  <c r="M69" i="9"/>
  <c r="M109" i="9" s="1"/>
  <c r="M149" i="9" s="1"/>
  <c r="K69" i="9"/>
  <c r="K109" i="9" s="1"/>
  <c r="K149" i="9" s="1"/>
  <c r="H69" i="9"/>
  <c r="H109" i="9" s="1"/>
  <c r="H149" i="9" s="1"/>
  <c r="B69" i="9"/>
  <c r="B109" i="9" s="1"/>
  <c r="B149" i="9" s="1"/>
  <c r="A69" i="9"/>
  <c r="A109" i="9" s="1"/>
  <c r="A149" i="9" s="1"/>
  <c r="P68" i="9"/>
  <c r="P108" i="9" s="1"/>
  <c r="P148" i="9" s="1"/>
  <c r="M68" i="9"/>
  <c r="M108" i="9" s="1"/>
  <c r="M148" i="9" s="1"/>
  <c r="K68" i="9"/>
  <c r="K108" i="9" s="1"/>
  <c r="K148" i="9" s="1"/>
  <c r="H68" i="9"/>
  <c r="H108" i="9" s="1"/>
  <c r="H148" i="9" s="1"/>
  <c r="B68" i="9"/>
  <c r="B108" i="9" s="1"/>
  <c r="B148" i="9" s="1"/>
  <c r="A68" i="9"/>
  <c r="A108" i="9" s="1"/>
  <c r="A148" i="9" s="1"/>
  <c r="P67" i="9"/>
  <c r="P107" i="9" s="1"/>
  <c r="P147" i="9" s="1"/>
  <c r="M67" i="9"/>
  <c r="M107" i="9" s="1"/>
  <c r="M147" i="9" s="1"/>
  <c r="K67" i="9"/>
  <c r="K107" i="9" s="1"/>
  <c r="K147" i="9" s="1"/>
  <c r="H67" i="9"/>
  <c r="H107" i="9" s="1"/>
  <c r="H147" i="9" s="1"/>
  <c r="B67" i="9"/>
  <c r="B107" i="9" s="1"/>
  <c r="B147" i="9" s="1"/>
  <c r="A67" i="9"/>
  <c r="A107" i="9" s="1"/>
  <c r="A147" i="9" s="1"/>
  <c r="P66" i="9"/>
  <c r="P106" i="9" s="1"/>
  <c r="P146" i="9" s="1"/>
  <c r="M66" i="9"/>
  <c r="M106" i="9" s="1"/>
  <c r="M146" i="9" s="1"/>
  <c r="K66" i="9"/>
  <c r="K106" i="9" s="1"/>
  <c r="K146" i="9" s="1"/>
  <c r="H66" i="9"/>
  <c r="H106" i="9" s="1"/>
  <c r="H146" i="9" s="1"/>
  <c r="B66" i="9"/>
  <c r="B106" i="9" s="1"/>
  <c r="B146" i="9" s="1"/>
  <c r="A66" i="9"/>
  <c r="A106" i="9" s="1"/>
  <c r="A146" i="9" s="1"/>
  <c r="P65" i="9"/>
  <c r="P105" i="9" s="1"/>
  <c r="P145" i="9" s="1"/>
  <c r="M65" i="9"/>
  <c r="M105" i="9" s="1"/>
  <c r="M145" i="9" s="1"/>
  <c r="K65" i="9"/>
  <c r="K105" i="9" s="1"/>
  <c r="K145" i="9" s="1"/>
  <c r="H65" i="9"/>
  <c r="H105" i="9" s="1"/>
  <c r="H145" i="9" s="1"/>
  <c r="B65" i="9"/>
  <c r="B105" i="9" s="1"/>
  <c r="B145" i="9" s="1"/>
  <c r="A65" i="9"/>
  <c r="A105" i="9" s="1"/>
  <c r="A145" i="9" s="1"/>
  <c r="P64" i="9"/>
  <c r="P104" i="9" s="1"/>
  <c r="P144" i="9" s="1"/>
  <c r="M64" i="9"/>
  <c r="M104" i="9" s="1"/>
  <c r="M144" i="9" s="1"/>
  <c r="K64" i="9"/>
  <c r="K104" i="9" s="1"/>
  <c r="K144" i="9" s="1"/>
  <c r="H64" i="9"/>
  <c r="H104" i="9" s="1"/>
  <c r="H144" i="9" s="1"/>
  <c r="B64" i="9"/>
  <c r="B104" i="9" s="1"/>
  <c r="B144" i="9" s="1"/>
  <c r="A64" i="9"/>
  <c r="A104" i="9" s="1"/>
  <c r="A144" i="9" s="1"/>
  <c r="P63" i="9"/>
  <c r="P103" i="9" s="1"/>
  <c r="P143" i="9" s="1"/>
  <c r="M63" i="9"/>
  <c r="M103" i="9" s="1"/>
  <c r="M143" i="9" s="1"/>
  <c r="K63" i="9"/>
  <c r="K103" i="9" s="1"/>
  <c r="K143" i="9" s="1"/>
  <c r="H63" i="9"/>
  <c r="H103" i="9" s="1"/>
  <c r="H143" i="9" s="1"/>
  <c r="B63" i="9"/>
  <c r="B103" i="9" s="1"/>
  <c r="B143" i="9" s="1"/>
  <c r="A63" i="9"/>
  <c r="A103" i="9" s="1"/>
  <c r="A143" i="9" s="1"/>
  <c r="P62" i="9"/>
  <c r="P102" i="9" s="1"/>
  <c r="P142" i="9" s="1"/>
  <c r="M62" i="9"/>
  <c r="M102" i="9" s="1"/>
  <c r="M142" i="9" s="1"/>
  <c r="K62" i="9"/>
  <c r="K102" i="9" s="1"/>
  <c r="K142" i="9" s="1"/>
  <c r="H62" i="9"/>
  <c r="H102" i="9" s="1"/>
  <c r="H142" i="9" s="1"/>
  <c r="B62" i="9"/>
  <c r="B102" i="9" s="1"/>
  <c r="B142" i="9" s="1"/>
  <c r="A62" i="9"/>
  <c r="A102" i="9" s="1"/>
  <c r="A142" i="9" s="1"/>
  <c r="P61" i="9"/>
  <c r="P101" i="9" s="1"/>
  <c r="P141" i="9" s="1"/>
  <c r="M61" i="9"/>
  <c r="M101" i="9" s="1"/>
  <c r="M141" i="9" s="1"/>
  <c r="K61" i="9"/>
  <c r="K101" i="9" s="1"/>
  <c r="K141" i="9" s="1"/>
  <c r="H61" i="9"/>
  <c r="H101" i="9" s="1"/>
  <c r="H141" i="9" s="1"/>
  <c r="B61" i="9"/>
  <c r="B101" i="9" s="1"/>
  <c r="B141" i="9" s="1"/>
  <c r="A61" i="9"/>
  <c r="A101" i="9" s="1"/>
  <c r="A141" i="9" s="1"/>
  <c r="P60" i="9"/>
  <c r="P100" i="9" s="1"/>
  <c r="P140" i="9" s="1"/>
  <c r="M60" i="9"/>
  <c r="M100" i="9" s="1"/>
  <c r="M140" i="9" s="1"/>
  <c r="K60" i="9"/>
  <c r="K100" i="9" s="1"/>
  <c r="K140" i="9" s="1"/>
  <c r="H60" i="9"/>
  <c r="H100" i="9" s="1"/>
  <c r="H140" i="9" s="1"/>
  <c r="B60" i="9"/>
  <c r="B100" i="9" s="1"/>
  <c r="B140" i="9" s="1"/>
  <c r="A60" i="9"/>
  <c r="A100" i="9" s="1"/>
  <c r="A140" i="9" s="1"/>
  <c r="P59" i="9"/>
  <c r="P99" i="9" s="1"/>
  <c r="P139" i="9" s="1"/>
  <c r="M59" i="9"/>
  <c r="M99" i="9" s="1"/>
  <c r="M139" i="9" s="1"/>
  <c r="K59" i="9"/>
  <c r="K99" i="9" s="1"/>
  <c r="K139" i="9" s="1"/>
  <c r="H59" i="9"/>
  <c r="H99" i="9" s="1"/>
  <c r="H139" i="9" s="1"/>
  <c r="B59" i="9"/>
  <c r="B99" i="9" s="1"/>
  <c r="B139" i="9" s="1"/>
  <c r="A59" i="9"/>
  <c r="A99" i="9" s="1"/>
  <c r="A139" i="9" s="1"/>
  <c r="P58" i="9"/>
  <c r="P98" i="9" s="1"/>
  <c r="P138" i="9" s="1"/>
  <c r="M58" i="9"/>
  <c r="M98" i="9" s="1"/>
  <c r="M138" i="9" s="1"/>
  <c r="K58" i="9"/>
  <c r="K98" i="9" s="1"/>
  <c r="K138" i="9" s="1"/>
  <c r="H58" i="9"/>
  <c r="H98" i="9" s="1"/>
  <c r="H138" i="9" s="1"/>
  <c r="B58" i="9"/>
  <c r="B98" i="9" s="1"/>
  <c r="B138" i="9" s="1"/>
  <c r="A58" i="9"/>
  <c r="A98" i="9" s="1"/>
  <c r="A138" i="9" s="1"/>
  <c r="P57" i="9"/>
  <c r="P97" i="9" s="1"/>
  <c r="P137" i="9" s="1"/>
  <c r="M57" i="9"/>
  <c r="M97" i="9" s="1"/>
  <c r="M137" i="9" s="1"/>
  <c r="K57" i="9"/>
  <c r="K97" i="9" s="1"/>
  <c r="K137" i="9" s="1"/>
  <c r="H57" i="9"/>
  <c r="H97" i="9" s="1"/>
  <c r="H137" i="9" s="1"/>
  <c r="B57" i="9"/>
  <c r="B97" i="9" s="1"/>
  <c r="B137" i="9" s="1"/>
  <c r="A57" i="9"/>
  <c r="A97" i="9" s="1"/>
  <c r="A137" i="9" s="1"/>
  <c r="P56" i="9"/>
  <c r="P96" i="9" s="1"/>
  <c r="P136" i="9" s="1"/>
  <c r="M56" i="9"/>
  <c r="M96" i="9" s="1"/>
  <c r="M136" i="9" s="1"/>
  <c r="K56" i="9"/>
  <c r="K96" i="9" s="1"/>
  <c r="K136" i="9" s="1"/>
  <c r="H56" i="9"/>
  <c r="H96" i="9" s="1"/>
  <c r="H136" i="9" s="1"/>
  <c r="B56" i="9"/>
  <c r="B96" i="9" s="1"/>
  <c r="B136" i="9" s="1"/>
  <c r="A56" i="9"/>
  <c r="A96" i="9" s="1"/>
  <c r="A136" i="9" s="1"/>
  <c r="P55" i="9"/>
  <c r="P95" i="9" s="1"/>
  <c r="P135" i="9" s="1"/>
  <c r="M55" i="9"/>
  <c r="M95" i="9" s="1"/>
  <c r="M135" i="9" s="1"/>
  <c r="K55" i="9"/>
  <c r="K95" i="9" s="1"/>
  <c r="H55" i="9"/>
  <c r="H95" i="9" s="1"/>
  <c r="B55" i="9"/>
  <c r="B95" i="9" s="1"/>
  <c r="B135" i="9" s="1"/>
  <c r="A55" i="9"/>
  <c r="A95" i="9" s="1"/>
  <c r="A135" i="9" s="1"/>
  <c r="C54" i="9"/>
  <c r="C94" i="9" s="1"/>
  <c r="C134" i="9" s="1"/>
  <c r="C53" i="9"/>
  <c r="C93" i="9" s="1"/>
  <c r="C133" i="9" s="1"/>
  <c r="B53" i="9"/>
  <c r="B93" i="9" s="1"/>
  <c r="B133" i="9" s="1"/>
  <c r="L49" i="9"/>
  <c r="L89" i="9" s="1"/>
  <c r="L129" i="9" s="1"/>
  <c r="L48" i="9"/>
  <c r="L88" i="9" s="1"/>
  <c r="L128" i="9" s="1"/>
  <c r="A48" i="9"/>
  <c r="A88" i="9" s="1"/>
  <c r="A128" i="9" s="1"/>
  <c r="L46" i="9"/>
  <c r="L86" i="9" s="1"/>
  <c r="L126" i="9" s="1"/>
  <c r="C46" i="9"/>
  <c r="C86" i="9" s="1"/>
  <c r="C126" i="9" s="1"/>
  <c r="M42" i="9"/>
  <c r="M82" i="9" s="1"/>
  <c r="M122" i="9" s="1"/>
  <c r="K35" i="9"/>
  <c r="H35" i="9"/>
  <c r="L47" i="9"/>
  <c r="L87" i="9" s="1"/>
  <c r="L127" i="9" s="1"/>
  <c r="M78" i="8"/>
  <c r="M118" i="8" s="1"/>
  <c r="M158" i="8" s="1"/>
  <c r="D78" i="8"/>
  <c r="D118" i="8" s="1"/>
  <c r="D158" i="8" s="1"/>
  <c r="M77" i="8"/>
  <c r="M117" i="8" s="1"/>
  <c r="M157" i="8" s="1"/>
  <c r="D77" i="8"/>
  <c r="D117" i="8" s="1"/>
  <c r="D157" i="8" s="1"/>
  <c r="P74" i="8"/>
  <c r="P114" i="8" s="1"/>
  <c r="P154" i="8" s="1"/>
  <c r="M74" i="8"/>
  <c r="M114" i="8" s="1"/>
  <c r="M154" i="8" s="1"/>
  <c r="K74" i="8"/>
  <c r="K114" i="8" s="1"/>
  <c r="K154" i="8" s="1"/>
  <c r="H74" i="8"/>
  <c r="H114" i="8" s="1"/>
  <c r="H154" i="8" s="1"/>
  <c r="B74" i="8"/>
  <c r="B114" i="8" s="1"/>
  <c r="B154" i="8" s="1"/>
  <c r="A74" i="8"/>
  <c r="A114" i="8" s="1"/>
  <c r="A154" i="8" s="1"/>
  <c r="P73" i="8"/>
  <c r="P113" i="8" s="1"/>
  <c r="P153" i="8" s="1"/>
  <c r="M73" i="8"/>
  <c r="M113" i="8" s="1"/>
  <c r="M153" i="8" s="1"/>
  <c r="K73" i="8"/>
  <c r="K113" i="8" s="1"/>
  <c r="K153" i="8" s="1"/>
  <c r="H73" i="8"/>
  <c r="H113" i="8" s="1"/>
  <c r="H153" i="8" s="1"/>
  <c r="B73" i="8"/>
  <c r="B113" i="8" s="1"/>
  <c r="B153" i="8" s="1"/>
  <c r="A73" i="8"/>
  <c r="A113" i="8" s="1"/>
  <c r="A153" i="8" s="1"/>
  <c r="P72" i="8"/>
  <c r="P112" i="8" s="1"/>
  <c r="P152" i="8" s="1"/>
  <c r="M72" i="8"/>
  <c r="M112" i="8" s="1"/>
  <c r="M152" i="8" s="1"/>
  <c r="K72" i="8"/>
  <c r="K112" i="8" s="1"/>
  <c r="K152" i="8" s="1"/>
  <c r="H72" i="8"/>
  <c r="H112" i="8" s="1"/>
  <c r="H152" i="8" s="1"/>
  <c r="B72" i="8"/>
  <c r="B112" i="8" s="1"/>
  <c r="B152" i="8" s="1"/>
  <c r="A72" i="8"/>
  <c r="A112" i="8" s="1"/>
  <c r="A152" i="8" s="1"/>
  <c r="P71" i="8"/>
  <c r="P111" i="8" s="1"/>
  <c r="P151" i="8" s="1"/>
  <c r="M71" i="8"/>
  <c r="M111" i="8" s="1"/>
  <c r="M151" i="8" s="1"/>
  <c r="K71" i="8"/>
  <c r="K111" i="8" s="1"/>
  <c r="K151" i="8" s="1"/>
  <c r="H71" i="8"/>
  <c r="H111" i="8" s="1"/>
  <c r="H151" i="8" s="1"/>
  <c r="B71" i="8"/>
  <c r="B111" i="8" s="1"/>
  <c r="B151" i="8" s="1"/>
  <c r="A71" i="8"/>
  <c r="A111" i="8" s="1"/>
  <c r="A151" i="8" s="1"/>
  <c r="P70" i="8"/>
  <c r="P110" i="8" s="1"/>
  <c r="P150" i="8" s="1"/>
  <c r="M70" i="8"/>
  <c r="M110" i="8" s="1"/>
  <c r="M150" i="8" s="1"/>
  <c r="K70" i="8"/>
  <c r="K110" i="8" s="1"/>
  <c r="K150" i="8" s="1"/>
  <c r="H70" i="8"/>
  <c r="H110" i="8" s="1"/>
  <c r="H150" i="8" s="1"/>
  <c r="B70" i="8"/>
  <c r="B110" i="8" s="1"/>
  <c r="B150" i="8" s="1"/>
  <c r="A70" i="8"/>
  <c r="A110" i="8" s="1"/>
  <c r="A150" i="8" s="1"/>
  <c r="P69" i="8"/>
  <c r="P109" i="8" s="1"/>
  <c r="P149" i="8" s="1"/>
  <c r="M69" i="8"/>
  <c r="M109" i="8" s="1"/>
  <c r="M149" i="8" s="1"/>
  <c r="K69" i="8"/>
  <c r="K109" i="8" s="1"/>
  <c r="K149" i="8" s="1"/>
  <c r="H69" i="8"/>
  <c r="H109" i="8" s="1"/>
  <c r="H149" i="8" s="1"/>
  <c r="B69" i="8"/>
  <c r="B109" i="8" s="1"/>
  <c r="B149" i="8" s="1"/>
  <c r="A69" i="8"/>
  <c r="A109" i="8" s="1"/>
  <c r="A149" i="8" s="1"/>
  <c r="P68" i="8"/>
  <c r="P108" i="8" s="1"/>
  <c r="P148" i="8" s="1"/>
  <c r="M68" i="8"/>
  <c r="M108" i="8" s="1"/>
  <c r="M148" i="8" s="1"/>
  <c r="K68" i="8"/>
  <c r="K108" i="8" s="1"/>
  <c r="K148" i="8" s="1"/>
  <c r="H68" i="8"/>
  <c r="H108" i="8" s="1"/>
  <c r="H148" i="8" s="1"/>
  <c r="B68" i="8"/>
  <c r="B108" i="8" s="1"/>
  <c r="B148" i="8" s="1"/>
  <c r="A68" i="8"/>
  <c r="A108" i="8" s="1"/>
  <c r="A148" i="8" s="1"/>
  <c r="P67" i="8"/>
  <c r="P107" i="8" s="1"/>
  <c r="P147" i="8" s="1"/>
  <c r="M67" i="8"/>
  <c r="M107" i="8" s="1"/>
  <c r="M147" i="8" s="1"/>
  <c r="K67" i="8"/>
  <c r="K107" i="8" s="1"/>
  <c r="K147" i="8" s="1"/>
  <c r="H67" i="8"/>
  <c r="H107" i="8" s="1"/>
  <c r="H147" i="8" s="1"/>
  <c r="B67" i="8"/>
  <c r="B107" i="8" s="1"/>
  <c r="B147" i="8" s="1"/>
  <c r="A67" i="8"/>
  <c r="A107" i="8" s="1"/>
  <c r="A147" i="8" s="1"/>
  <c r="P66" i="8"/>
  <c r="P106" i="8" s="1"/>
  <c r="P146" i="8" s="1"/>
  <c r="M66" i="8"/>
  <c r="M106" i="8" s="1"/>
  <c r="M146" i="8" s="1"/>
  <c r="K66" i="8"/>
  <c r="K106" i="8" s="1"/>
  <c r="K146" i="8" s="1"/>
  <c r="H66" i="8"/>
  <c r="H106" i="8" s="1"/>
  <c r="H146" i="8" s="1"/>
  <c r="B66" i="8"/>
  <c r="B106" i="8" s="1"/>
  <c r="B146" i="8" s="1"/>
  <c r="A66" i="8"/>
  <c r="A106" i="8" s="1"/>
  <c r="A146" i="8" s="1"/>
  <c r="P65" i="8"/>
  <c r="P105" i="8" s="1"/>
  <c r="P145" i="8" s="1"/>
  <c r="M65" i="8"/>
  <c r="M105" i="8" s="1"/>
  <c r="M145" i="8" s="1"/>
  <c r="K65" i="8"/>
  <c r="K105" i="8" s="1"/>
  <c r="K145" i="8" s="1"/>
  <c r="H65" i="8"/>
  <c r="H105" i="8" s="1"/>
  <c r="H145" i="8" s="1"/>
  <c r="B65" i="8"/>
  <c r="B105" i="8" s="1"/>
  <c r="B145" i="8" s="1"/>
  <c r="A65" i="8"/>
  <c r="A105" i="8" s="1"/>
  <c r="A145" i="8" s="1"/>
  <c r="P64" i="8"/>
  <c r="P104" i="8" s="1"/>
  <c r="P144" i="8" s="1"/>
  <c r="M64" i="8"/>
  <c r="M104" i="8" s="1"/>
  <c r="M144" i="8" s="1"/>
  <c r="K64" i="8"/>
  <c r="K104" i="8" s="1"/>
  <c r="K144" i="8" s="1"/>
  <c r="H64" i="8"/>
  <c r="H104" i="8" s="1"/>
  <c r="H144" i="8" s="1"/>
  <c r="B64" i="8"/>
  <c r="B104" i="8" s="1"/>
  <c r="B144" i="8" s="1"/>
  <c r="A64" i="8"/>
  <c r="A104" i="8" s="1"/>
  <c r="A144" i="8" s="1"/>
  <c r="P63" i="8"/>
  <c r="P103" i="8" s="1"/>
  <c r="P143" i="8" s="1"/>
  <c r="M63" i="8"/>
  <c r="M103" i="8" s="1"/>
  <c r="M143" i="8" s="1"/>
  <c r="K63" i="8"/>
  <c r="K103" i="8" s="1"/>
  <c r="K143" i="8" s="1"/>
  <c r="H63" i="8"/>
  <c r="H103" i="8" s="1"/>
  <c r="H143" i="8" s="1"/>
  <c r="B63" i="8"/>
  <c r="B103" i="8" s="1"/>
  <c r="B143" i="8" s="1"/>
  <c r="A63" i="8"/>
  <c r="A103" i="8" s="1"/>
  <c r="A143" i="8" s="1"/>
  <c r="P62" i="8"/>
  <c r="P102" i="8" s="1"/>
  <c r="P142" i="8" s="1"/>
  <c r="M62" i="8"/>
  <c r="M102" i="8" s="1"/>
  <c r="M142" i="8" s="1"/>
  <c r="K62" i="8"/>
  <c r="K102" i="8" s="1"/>
  <c r="K142" i="8" s="1"/>
  <c r="H62" i="8"/>
  <c r="H102" i="8" s="1"/>
  <c r="H142" i="8" s="1"/>
  <c r="B62" i="8"/>
  <c r="B102" i="8" s="1"/>
  <c r="B142" i="8" s="1"/>
  <c r="A62" i="8"/>
  <c r="A102" i="8" s="1"/>
  <c r="A142" i="8" s="1"/>
  <c r="P61" i="8"/>
  <c r="P101" i="8" s="1"/>
  <c r="P141" i="8" s="1"/>
  <c r="M61" i="8"/>
  <c r="M101" i="8" s="1"/>
  <c r="M141" i="8" s="1"/>
  <c r="K61" i="8"/>
  <c r="K101" i="8" s="1"/>
  <c r="K141" i="8" s="1"/>
  <c r="H61" i="8"/>
  <c r="H101" i="8" s="1"/>
  <c r="H141" i="8" s="1"/>
  <c r="B61" i="8"/>
  <c r="B101" i="8" s="1"/>
  <c r="B141" i="8" s="1"/>
  <c r="A61" i="8"/>
  <c r="A101" i="8" s="1"/>
  <c r="A141" i="8" s="1"/>
  <c r="P60" i="8"/>
  <c r="P100" i="8" s="1"/>
  <c r="P140" i="8" s="1"/>
  <c r="M60" i="8"/>
  <c r="M100" i="8" s="1"/>
  <c r="M140" i="8" s="1"/>
  <c r="K60" i="8"/>
  <c r="K100" i="8" s="1"/>
  <c r="K140" i="8" s="1"/>
  <c r="H60" i="8"/>
  <c r="H100" i="8" s="1"/>
  <c r="H140" i="8" s="1"/>
  <c r="B60" i="8"/>
  <c r="B100" i="8" s="1"/>
  <c r="B140" i="8" s="1"/>
  <c r="A60" i="8"/>
  <c r="A100" i="8" s="1"/>
  <c r="A140" i="8" s="1"/>
  <c r="P59" i="8"/>
  <c r="P99" i="8" s="1"/>
  <c r="P139" i="8" s="1"/>
  <c r="M59" i="8"/>
  <c r="M99" i="8" s="1"/>
  <c r="M139" i="8" s="1"/>
  <c r="K59" i="8"/>
  <c r="K99" i="8" s="1"/>
  <c r="K139" i="8" s="1"/>
  <c r="H59" i="8"/>
  <c r="H99" i="8" s="1"/>
  <c r="H139" i="8" s="1"/>
  <c r="B59" i="8"/>
  <c r="B99" i="8" s="1"/>
  <c r="B139" i="8" s="1"/>
  <c r="A59" i="8"/>
  <c r="A99" i="8" s="1"/>
  <c r="A139" i="8" s="1"/>
  <c r="P58" i="8"/>
  <c r="P98" i="8" s="1"/>
  <c r="P138" i="8" s="1"/>
  <c r="M58" i="8"/>
  <c r="M98" i="8" s="1"/>
  <c r="M138" i="8" s="1"/>
  <c r="K58" i="8"/>
  <c r="K98" i="8" s="1"/>
  <c r="K138" i="8" s="1"/>
  <c r="H58" i="8"/>
  <c r="H98" i="8" s="1"/>
  <c r="H138" i="8" s="1"/>
  <c r="B58" i="8"/>
  <c r="B98" i="8" s="1"/>
  <c r="B138" i="8" s="1"/>
  <c r="A58" i="8"/>
  <c r="A98" i="8" s="1"/>
  <c r="A138" i="8" s="1"/>
  <c r="P57" i="8"/>
  <c r="P97" i="8" s="1"/>
  <c r="P137" i="8" s="1"/>
  <c r="M57" i="8"/>
  <c r="M97" i="8" s="1"/>
  <c r="M137" i="8" s="1"/>
  <c r="K57" i="8"/>
  <c r="K97" i="8" s="1"/>
  <c r="K137" i="8" s="1"/>
  <c r="H57" i="8"/>
  <c r="H97" i="8" s="1"/>
  <c r="H137" i="8" s="1"/>
  <c r="B57" i="8"/>
  <c r="B97" i="8" s="1"/>
  <c r="B137" i="8" s="1"/>
  <c r="A57" i="8"/>
  <c r="A97" i="8" s="1"/>
  <c r="A137" i="8" s="1"/>
  <c r="P56" i="8"/>
  <c r="P96" i="8" s="1"/>
  <c r="P136" i="8" s="1"/>
  <c r="M56" i="8"/>
  <c r="M96" i="8" s="1"/>
  <c r="M136" i="8" s="1"/>
  <c r="K56" i="8"/>
  <c r="K96" i="8" s="1"/>
  <c r="K136" i="8" s="1"/>
  <c r="H56" i="8"/>
  <c r="H75" i="8" s="1"/>
  <c r="B56" i="8"/>
  <c r="B96" i="8" s="1"/>
  <c r="B136" i="8" s="1"/>
  <c r="A56" i="8"/>
  <c r="A96" i="8" s="1"/>
  <c r="A136" i="8" s="1"/>
  <c r="P55" i="8"/>
  <c r="P95" i="8" s="1"/>
  <c r="P135" i="8" s="1"/>
  <c r="M55" i="8"/>
  <c r="M95" i="8" s="1"/>
  <c r="M135" i="8" s="1"/>
  <c r="K55" i="8"/>
  <c r="K95" i="8" s="1"/>
  <c r="H55" i="8"/>
  <c r="H95" i="8" s="1"/>
  <c r="B55" i="8"/>
  <c r="B95" i="8" s="1"/>
  <c r="B135" i="8" s="1"/>
  <c r="A55" i="8"/>
  <c r="A95" i="8" s="1"/>
  <c r="A135" i="8" s="1"/>
  <c r="C54" i="8"/>
  <c r="C94" i="8" s="1"/>
  <c r="C134" i="8" s="1"/>
  <c r="C53" i="8"/>
  <c r="C93" i="8" s="1"/>
  <c r="C133" i="8" s="1"/>
  <c r="B53" i="8"/>
  <c r="B93" i="8" s="1"/>
  <c r="B133" i="8" s="1"/>
  <c r="L49" i="8"/>
  <c r="L89" i="8" s="1"/>
  <c r="L129" i="8" s="1"/>
  <c r="L48" i="8"/>
  <c r="L88" i="8" s="1"/>
  <c r="L128" i="8" s="1"/>
  <c r="A48" i="8"/>
  <c r="A88" i="8" s="1"/>
  <c r="A128" i="8" s="1"/>
  <c r="L46" i="8"/>
  <c r="L86" i="8" s="1"/>
  <c r="L126" i="8" s="1"/>
  <c r="C46" i="8"/>
  <c r="C86" i="8" s="1"/>
  <c r="C126" i="8" s="1"/>
  <c r="M42" i="8"/>
  <c r="M82" i="8" s="1"/>
  <c r="M122" i="8" s="1"/>
  <c r="K35" i="8"/>
  <c r="H35" i="8"/>
  <c r="L47" i="8"/>
  <c r="L87" i="8" s="1"/>
  <c r="L127" i="8" s="1"/>
  <c r="H115" i="11" l="1"/>
  <c r="H155" i="11"/>
  <c r="H135" i="9"/>
  <c r="H155" i="9" s="1"/>
  <c r="H115" i="9"/>
  <c r="K135" i="9"/>
  <c r="K155" i="9" s="1"/>
  <c r="K115" i="9"/>
  <c r="H75" i="9"/>
  <c r="K75" i="9"/>
  <c r="H135" i="8"/>
  <c r="K135" i="8"/>
  <c r="K155" i="8" s="1"/>
  <c r="K115" i="8"/>
  <c r="H96" i="8"/>
  <c r="H136" i="8" s="1"/>
  <c r="K75" i="8"/>
  <c r="C93" i="7"/>
  <c r="C133" i="7" s="1"/>
  <c r="M78" i="7"/>
  <c r="M118" i="7" s="1"/>
  <c r="M158" i="7" s="1"/>
  <c r="D78" i="7"/>
  <c r="D118" i="7" s="1"/>
  <c r="D158" i="7" s="1"/>
  <c r="M77" i="7"/>
  <c r="M117" i="7" s="1"/>
  <c r="M157" i="7" s="1"/>
  <c r="D77" i="7"/>
  <c r="D117" i="7" s="1"/>
  <c r="D157" i="7" s="1"/>
  <c r="P74" i="7"/>
  <c r="P114" i="7" s="1"/>
  <c r="P154" i="7" s="1"/>
  <c r="M74" i="7"/>
  <c r="M114" i="7" s="1"/>
  <c r="M154" i="7" s="1"/>
  <c r="K74" i="7"/>
  <c r="K114" i="7" s="1"/>
  <c r="K154" i="7" s="1"/>
  <c r="H74" i="7"/>
  <c r="H114" i="7" s="1"/>
  <c r="H154" i="7" s="1"/>
  <c r="B74" i="7"/>
  <c r="B114" i="7" s="1"/>
  <c r="B154" i="7" s="1"/>
  <c r="A74" i="7"/>
  <c r="A114" i="7" s="1"/>
  <c r="A154" i="7" s="1"/>
  <c r="P73" i="7"/>
  <c r="P113" i="7" s="1"/>
  <c r="P153" i="7" s="1"/>
  <c r="M73" i="7"/>
  <c r="M113" i="7" s="1"/>
  <c r="M153" i="7" s="1"/>
  <c r="K73" i="7"/>
  <c r="K113" i="7" s="1"/>
  <c r="K153" i="7" s="1"/>
  <c r="H73" i="7"/>
  <c r="H113" i="7" s="1"/>
  <c r="H153" i="7" s="1"/>
  <c r="B73" i="7"/>
  <c r="B113" i="7" s="1"/>
  <c r="B153" i="7" s="1"/>
  <c r="A73" i="7"/>
  <c r="A113" i="7" s="1"/>
  <c r="A153" i="7" s="1"/>
  <c r="P72" i="7"/>
  <c r="P112" i="7" s="1"/>
  <c r="P152" i="7" s="1"/>
  <c r="M72" i="7"/>
  <c r="M112" i="7" s="1"/>
  <c r="M152" i="7" s="1"/>
  <c r="K72" i="7"/>
  <c r="K112" i="7" s="1"/>
  <c r="K152" i="7" s="1"/>
  <c r="H72" i="7"/>
  <c r="H112" i="7" s="1"/>
  <c r="H152" i="7" s="1"/>
  <c r="B72" i="7"/>
  <c r="B112" i="7" s="1"/>
  <c r="B152" i="7" s="1"/>
  <c r="A72" i="7"/>
  <c r="A112" i="7" s="1"/>
  <c r="A152" i="7" s="1"/>
  <c r="P71" i="7"/>
  <c r="P111" i="7" s="1"/>
  <c r="P151" i="7" s="1"/>
  <c r="M71" i="7"/>
  <c r="M111" i="7" s="1"/>
  <c r="M151" i="7" s="1"/>
  <c r="K71" i="7"/>
  <c r="K111" i="7" s="1"/>
  <c r="K151" i="7" s="1"/>
  <c r="H71" i="7"/>
  <c r="H111" i="7" s="1"/>
  <c r="H151" i="7" s="1"/>
  <c r="B71" i="7"/>
  <c r="B111" i="7" s="1"/>
  <c r="B151" i="7" s="1"/>
  <c r="A71" i="7"/>
  <c r="A111" i="7" s="1"/>
  <c r="A151" i="7" s="1"/>
  <c r="P70" i="7"/>
  <c r="P110" i="7" s="1"/>
  <c r="P150" i="7" s="1"/>
  <c r="M70" i="7"/>
  <c r="M110" i="7" s="1"/>
  <c r="M150" i="7" s="1"/>
  <c r="K70" i="7"/>
  <c r="K110" i="7" s="1"/>
  <c r="K150" i="7" s="1"/>
  <c r="H70" i="7"/>
  <c r="H110" i="7" s="1"/>
  <c r="H150" i="7" s="1"/>
  <c r="B70" i="7"/>
  <c r="B110" i="7" s="1"/>
  <c r="B150" i="7" s="1"/>
  <c r="A70" i="7"/>
  <c r="A110" i="7" s="1"/>
  <c r="A150" i="7" s="1"/>
  <c r="P69" i="7"/>
  <c r="P109" i="7" s="1"/>
  <c r="P149" i="7" s="1"/>
  <c r="M69" i="7"/>
  <c r="M109" i="7" s="1"/>
  <c r="M149" i="7" s="1"/>
  <c r="K69" i="7"/>
  <c r="K109" i="7" s="1"/>
  <c r="K149" i="7" s="1"/>
  <c r="H69" i="7"/>
  <c r="H109" i="7" s="1"/>
  <c r="H149" i="7" s="1"/>
  <c r="B69" i="7"/>
  <c r="B109" i="7" s="1"/>
  <c r="B149" i="7" s="1"/>
  <c r="A69" i="7"/>
  <c r="A109" i="7" s="1"/>
  <c r="A149" i="7" s="1"/>
  <c r="P68" i="7"/>
  <c r="P108" i="7" s="1"/>
  <c r="P148" i="7" s="1"/>
  <c r="M68" i="7"/>
  <c r="M108" i="7" s="1"/>
  <c r="M148" i="7" s="1"/>
  <c r="K68" i="7"/>
  <c r="K108" i="7" s="1"/>
  <c r="K148" i="7" s="1"/>
  <c r="H68" i="7"/>
  <c r="H108" i="7" s="1"/>
  <c r="H148" i="7" s="1"/>
  <c r="B68" i="7"/>
  <c r="B108" i="7" s="1"/>
  <c r="B148" i="7" s="1"/>
  <c r="A68" i="7"/>
  <c r="A108" i="7" s="1"/>
  <c r="A148" i="7" s="1"/>
  <c r="P67" i="7"/>
  <c r="P107" i="7" s="1"/>
  <c r="P147" i="7" s="1"/>
  <c r="M67" i="7"/>
  <c r="M107" i="7" s="1"/>
  <c r="M147" i="7" s="1"/>
  <c r="K67" i="7"/>
  <c r="K107" i="7" s="1"/>
  <c r="K147" i="7" s="1"/>
  <c r="H67" i="7"/>
  <c r="H107" i="7" s="1"/>
  <c r="H147" i="7" s="1"/>
  <c r="B67" i="7"/>
  <c r="B107" i="7" s="1"/>
  <c r="B147" i="7" s="1"/>
  <c r="A67" i="7"/>
  <c r="A107" i="7" s="1"/>
  <c r="A147" i="7" s="1"/>
  <c r="P66" i="7"/>
  <c r="P106" i="7" s="1"/>
  <c r="P146" i="7" s="1"/>
  <c r="M66" i="7"/>
  <c r="M106" i="7" s="1"/>
  <c r="M146" i="7" s="1"/>
  <c r="K66" i="7"/>
  <c r="K106" i="7" s="1"/>
  <c r="K146" i="7" s="1"/>
  <c r="H66" i="7"/>
  <c r="H106" i="7" s="1"/>
  <c r="H146" i="7" s="1"/>
  <c r="B66" i="7"/>
  <c r="B106" i="7" s="1"/>
  <c r="B146" i="7" s="1"/>
  <c r="A66" i="7"/>
  <c r="A106" i="7" s="1"/>
  <c r="A146" i="7" s="1"/>
  <c r="P65" i="7"/>
  <c r="P105" i="7" s="1"/>
  <c r="P145" i="7" s="1"/>
  <c r="M65" i="7"/>
  <c r="M105" i="7" s="1"/>
  <c r="M145" i="7" s="1"/>
  <c r="K65" i="7"/>
  <c r="K105" i="7" s="1"/>
  <c r="K145" i="7" s="1"/>
  <c r="H65" i="7"/>
  <c r="H105" i="7" s="1"/>
  <c r="H145" i="7" s="1"/>
  <c r="B65" i="7"/>
  <c r="B105" i="7" s="1"/>
  <c r="B145" i="7" s="1"/>
  <c r="A65" i="7"/>
  <c r="A105" i="7" s="1"/>
  <c r="A145" i="7" s="1"/>
  <c r="P64" i="7"/>
  <c r="P104" i="7" s="1"/>
  <c r="P144" i="7" s="1"/>
  <c r="M64" i="7"/>
  <c r="M104" i="7" s="1"/>
  <c r="M144" i="7" s="1"/>
  <c r="K64" i="7"/>
  <c r="K104" i="7" s="1"/>
  <c r="K144" i="7" s="1"/>
  <c r="H64" i="7"/>
  <c r="H104" i="7" s="1"/>
  <c r="H144" i="7" s="1"/>
  <c r="B64" i="7"/>
  <c r="B104" i="7" s="1"/>
  <c r="B144" i="7" s="1"/>
  <c r="A64" i="7"/>
  <c r="A104" i="7" s="1"/>
  <c r="A144" i="7" s="1"/>
  <c r="P63" i="7"/>
  <c r="P103" i="7" s="1"/>
  <c r="P143" i="7" s="1"/>
  <c r="M63" i="7"/>
  <c r="M103" i="7" s="1"/>
  <c r="M143" i="7" s="1"/>
  <c r="K63" i="7"/>
  <c r="K103" i="7" s="1"/>
  <c r="K143" i="7" s="1"/>
  <c r="H63" i="7"/>
  <c r="H103" i="7" s="1"/>
  <c r="H143" i="7" s="1"/>
  <c r="B63" i="7"/>
  <c r="B103" i="7" s="1"/>
  <c r="B143" i="7" s="1"/>
  <c r="A63" i="7"/>
  <c r="A103" i="7" s="1"/>
  <c r="A143" i="7" s="1"/>
  <c r="P62" i="7"/>
  <c r="P102" i="7" s="1"/>
  <c r="P142" i="7" s="1"/>
  <c r="M62" i="7"/>
  <c r="M102" i="7" s="1"/>
  <c r="M142" i="7" s="1"/>
  <c r="K62" i="7"/>
  <c r="K102" i="7" s="1"/>
  <c r="K142" i="7" s="1"/>
  <c r="H62" i="7"/>
  <c r="H102" i="7" s="1"/>
  <c r="H142" i="7" s="1"/>
  <c r="B62" i="7"/>
  <c r="B102" i="7" s="1"/>
  <c r="B142" i="7" s="1"/>
  <c r="A62" i="7"/>
  <c r="A102" i="7" s="1"/>
  <c r="A142" i="7" s="1"/>
  <c r="P61" i="7"/>
  <c r="P101" i="7" s="1"/>
  <c r="P141" i="7" s="1"/>
  <c r="M61" i="7"/>
  <c r="M101" i="7" s="1"/>
  <c r="M141" i="7" s="1"/>
  <c r="K61" i="7"/>
  <c r="K101" i="7" s="1"/>
  <c r="K141" i="7" s="1"/>
  <c r="H61" i="7"/>
  <c r="H101" i="7" s="1"/>
  <c r="H141" i="7" s="1"/>
  <c r="B61" i="7"/>
  <c r="B101" i="7" s="1"/>
  <c r="B141" i="7" s="1"/>
  <c r="A61" i="7"/>
  <c r="A101" i="7" s="1"/>
  <c r="A141" i="7" s="1"/>
  <c r="P60" i="7"/>
  <c r="P100" i="7" s="1"/>
  <c r="P140" i="7" s="1"/>
  <c r="M60" i="7"/>
  <c r="M100" i="7" s="1"/>
  <c r="M140" i="7" s="1"/>
  <c r="K60" i="7"/>
  <c r="K100" i="7" s="1"/>
  <c r="K140" i="7" s="1"/>
  <c r="H60" i="7"/>
  <c r="H100" i="7" s="1"/>
  <c r="H140" i="7" s="1"/>
  <c r="B60" i="7"/>
  <c r="B100" i="7" s="1"/>
  <c r="B140" i="7" s="1"/>
  <c r="A60" i="7"/>
  <c r="A100" i="7" s="1"/>
  <c r="A140" i="7" s="1"/>
  <c r="P59" i="7"/>
  <c r="P99" i="7" s="1"/>
  <c r="P139" i="7" s="1"/>
  <c r="M59" i="7"/>
  <c r="M99" i="7" s="1"/>
  <c r="M139" i="7" s="1"/>
  <c r="K59" i="7"/>
  <c r="K99" i="7" s="1"/>
  <c r="K139" i="7" s="1"/>
  <c r="H59" i="7"/>
  <c r="H99" i="7" s="1"/>
  <c r="H139" i="7" s="1"/>
  <c r="B59" i="7"/>
  <c r="B99" i="7" s="1"/>
  <c r="B139" i="7" s="1"/>
  <c r="A59" i="7"/>
  <c r="A99" i="7" s="1"/>
  <c r="A139" i="7" s="1"/>
  <c r="P58" i="7"/>
  <c r="P98" i="7" s="1"/>
  <c r="P138" i="7" s="1"/>
  <c r="M58" i="7"/>
  <c r="M98" i="7" s="1"/>
  <c r="M138" i="7" s="1"/>
  <c r="K58" i="7"/>
  <c r="K98" i="7" s="1"/>
  <c r="K138" i="7" s="1"/>
  <c r="H58" i="7"/>
  <c r="H98" i="7" s="1"/>
  <c r="H138" i="7" s="1"/>
  <c r="B58" i="7"/>
  <c r="B98" i="7" s="1"/>
  <c r="B138" i="7" s="1"/>
  <c r="A58" i="7"/>
  <c r="A98" i="7" s="1"/>
  <c r="A138" i="7" s="1"/>
  <c r="P57" i="7"/>
  <c r="P97" i="7" s="1"/>
  <c r="P137" i="7" s="1"/>
  <c r="M57" i="7"/>
  <c r="M97" i="7" s="1"/>
  <c r="M137" i="7" s="1"/>
  <c r="K57" i="7"/>
  <c r="K97" i="7" s="1"/>
  <c r="K137" i="7" s="1"/>
  <c r="H57" i="7"/>
  <c r="H97" i="7" s="1"/>
  <c r="H137" i="7" s="1"/>
  <c r="B57" i="7"/>
  <c r="B97" i="7" s="1"/>
  <c r="B137" i="7" s="1"/>
  <c r="A57" i="7"/>
  <c r="A97" i="7" s="1"/>
  <c r="A137" i="7" s="1"/>
  <c r="P56" i="7"/>
  <c r="P96" i="7" s="1"/>
  <c r="P136" i="7" s="1"/>
  <c r="M56" i="7"/>
  <c r="M96" i="7" s="1"/>
  <c r="M136" i="7" s="1"/>
  <c r="K56" i="7"/>
  <c r="K96" i="7" s="1"/>
  <c r="K136" i="7" s="1"/>
  <c r="H56" i="7"/>
  <c r="H96" i="7" s="1"/>
  <c r="H136" i="7" s="1"/>
  <c r="B56" i="7"/>
  <c r="B96" i="7" s="1"/>
  <c r="B136" i="7" s="1"/>
  <c r="A56" i="7"/>
  <c r="A96" i="7" s="1"/>
  <c r="A136" i="7" s="1"/>
  <c r="P55" i="7"/>
  <c r="P95" i="7" s="1"/>
  <c r="P135" i="7" s="1"/>
  <c r="M55" i="7"/>
  <c r="M95" i="7" s="1"/>
  <c r="M135" i="7" s="1"/>
  <c r="K55" i="7"/>
  <c r="H55" i="7"/>
  <c r="B55" i="7"/>
  <c r="B95" i="7" s="1"/>
  <c r="B135" i="7" s="1"/>
  <c r="A55" i="7"/>
  <c r="A95" i="7" s="1"/>
  <c r="A135" i="7" s="1"/>
  <c r="C54" i="7"/>
  <c r="C94" i="7" s="1"/>
  <c r="C134" i="7" s="1"/>
  <c r="C53" i="7"/>
  <c r="B53" i="7"/>
  <c r="B93" i="7" s="1"/>
  <c r="B133" i="7" s="1"/>
  <c r="L49" i="7"/>
  <c r="L89" i="7" s="1"/>
  <c r="L129" i="7" s="1"/>
  <c r="L48" i="7"/>
  <c r="L88" i="7" s="1"/>
  <c r="L128" i="7" s="1"/>
  <c r="A48" i="7"/>
  <c r="A88" i="7" s="1"/>
  <c r="A128" i="7" s="1"/>
  <c r="L46" i="7"/>
  <c r="L86" i="7" s="1"/>
  <c r="L126" i="7" s="1"/>
  <c r="C46" i="7"/>
  <c r="C86" i="7" s="1"/>
  <c r="C126" i="7" s="1"/>
  <c r="M42" i="7"/>
  <c r="M82" i="7" s="1"/>
  <c r="M122" i="7" s="1"/>
  <c r="K35" i="7"/>
  <c r="H35" i="7"/>
  <c r="L47" i="7"/>
  <c r="L87" i="7" s="1"/>
  <c r="L127" i="7" s="1"/>
  <c r="H115" i="8" l="1"/>
  <c r="H155" i="8"/>
  <c r="H75" i="7"/>
  <c r="K75" i="7"/>
  <c r="H95" i="7"/>
  <c r="K95" i="7"/>
  <c r="H135" i="7" l="1"/>
  <c r="H155" i="7" s="1"/>
  <c r="H115" i="7"/>
  <c r="K135" i="7"/>
  <c r="K155" i="7" s="1"/>
  <c r="K115" i="7"/>
</calcChain>
</file>

<file path=xl/sharedStrings.xml><?xml version="1.0" encoding="utf-8"?>
<sst xmlns="http://schemas.openxmlformats.org/spreadsheetml/2006/main" count="3742" uniqueCount="315">
  <si>
    <t>Description Of Goods</t>
  </si>
  <si>
    <t>Quantity</t>
  </si>
  <si>
    <t>Carton</t>
  </si>
  <si>
    <t>Remarks</t>
  </si>
  <si>
    <t>Lock No</t>
  </si>
  <si>
    <t>Date</t>
  </si>
  <si>
    <t>Carrier</t>
  </si>
  <si>
    <t>:</t>
  </si>
  <si>
    <t>Delivery Mode</t>
  </si>
  <si>
    <t>Challan No:</t>
  </si>
  <si>
    <t>To:</t>
  </si>
  <si>
    <t xml:space="preserve">Buyer Name: </t>
  </si>
  <si>
    <t>Item No:</t>
  </si>
  <si>
    <t>Sample:</t>
  </si>
  <si>
    <t>Delivery of Readymade Garments</t>
  </si>
  <si>
    <t>Pcs</t>
  </si>
  <si>
    <t>Country</t>
  </si>
  <si>
    <t>Total :</t>
  </si>
  <si>
    <t xml:space="preserve"> Receiver's Signature </t>
  </si>
  <si>
    <t>Store</t>
  </si>
  <si>
    <t xml:space="preserve">For: Impress-Newtex Composite Textiles Ltd. </t>
  </si>
  <si>
    <t>Momin Nagar, Gorai, Mirzapur, Tangail.</t>
  </si>
  <si>
    <t>Driver Name:</t>
  </si>
  <si>
    <t>Mobile No:</t>
  </si>
  <si>
    <t>Licence Number:</t>
  </si>
  <si>
    <t>Covervan Number:</t>
  </si>
  <si>
    <t>FORM STR 03
REVISION NO 01</t>
  </si>
  <si>
    <r>
      <rPr>
        <b/>
        <sz val="28"/>
        <color theme="1"/>
        <rFont val="Calibri"/>
        <family val="2"/>
        <scheme val="minor"/>
      </rPr>
      <t>Impress-Newtex</t>
    </r>
    <r>
      <rPr>
        <b/>
        <sz val="20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Composite Textiles Ltd.</t>
    </r>
  </si>
  <si>
    <t>To</t>
  </si>
  <si>
    <t>SEA</t>
  </si>
  <si>
    <t>AIR</t>
  </si>
  <si>
    <t>SEA-AIR</t>
  </si>
  <si>
    <t>SL NO</t>
  </si>
  <si>
    <r>
      <rPr>
        <b/>
        <sz val="14"/>
        <color theme="1"/>
        <rFont val="Calibri"/>
        <family val="2"/>
        <scheme val="minor"/>
      </rPr>
      <t>Esack Brothers Industries Ltd.</t>
    </r>
    <r>
      <rPr>
        <sz val="11"/>
        <color theme="1"/>
        <rFont val="Calibri"/>
        <family val="2"/>
        <scheme val="minor"/>
      </rPr>
      <t xml:space="preserve">
Middle Halishahar, Bandar
Chattogram, Bangladesh.</t>
    </r>
  </si>
  <si>
    <r>
      <rPr>
        <b/>
        <sz val="14"/>
        <color theme="1"/>
        <rFont val="Calibri"/>
        <family val="2"/>
        <scheme val="minor"/>
      </rPr>
      <t>Vertex Off-Dock Logistics Services Ltd.</t>
    </r>
    <r>
      <rPr>
        <sz val="11"/>
        <color theme="1"/>
        <rFont val="Calibri"/>
        <family val="2"/>
        <scheme val="minor"/>
      </rPr>
      <t xml:space="preserve">
1443/1509, Old Airport Road, Katghar, North Patenga,
Chattogram 4204, Bangladesh.</t>
    </r>
  </si>
  <si>
    <r>
      <rPr>
        <b/>
        <sz val="16"/>
        <color theme="1"/>
        <rFont val="Calibri"/>
        <family val="2"/>
        <scheme val="minor"/>
      </rPr>
      <t>KDS Logistics Ltd.</t>
    </r>
    <r>
      <rPr>
        <sz val="11"/>
        <color theme="1"/>
        <rFont val="Calibri"/>
        <family val="2"/>
        <scheme val="minor"/>
      </rPr>
      <t xml:space="preserve">
Ghoramara, Sonalchari, Sitakunda
Chattogram 4318, Bangladesh.</t>
    </r>
  </si>
  <si>
    <r>
      <rPr>
        <b/>
        <sz val="16"/>
        <color theme="1"/>
        <rFont val="Calibri"/>
        <family val="2"/>
        <scheme val="minor"/>
      </rPr>
      <t>M/S Zaman &amp; Sons.</t>
    </r>
    <r>
      <rPr>
        <sz val="11"/>
        <color theme="1"/>
        <rFont val="Calibri"/>
        <family val="2"/>
        <scheme val="minor"/>
      </rPr>
      <t xml:space="preserve">
Mongla Brndar
76 Sir Iqbal-Road, Baitypara, Khulna, Bangladesh.</t>
    </r>
  </si>
  <si>
    <r>
      <rPr>
        <b/>
        <sz val="14"/>
        <color theme="1"/>
        <rFont val="Calibri"/>
        <family val="2"/>
        <scheme val="minor"/>
      </rPr>
      <t>HELLMANN WORLDWIDE LOGISTICS.</t>
    </r>
    <r>
      <rPr>
        <sz val="11"/>
        <color theme="1"/>
        <rFont val="Calibri"/>
        <family val="2"/>
        <scheme val="minor"/>
      </rPr>
      <t xml:space="preserve">
Hrb Industrial Complex, Istema Road,
Nasimpur, Tongi, Gazipur, Bangladesh.</t>
    </r>
  </si>
  <si>
    <r>
      <rPr>
        <b/>
        <sz val="14"/>
        <color theme="1"/>
        <rFont val="Calibri"/>
        <family val="2"/>
        <scheme val="minor"/>
      </rPr>
      <t>Nippon Express Bangladesh Ltd.</t>
    </r>
    <r>
      <rPr>
        <sz val="11"/>
        <color theme="1"/>
        <rFont val="Calibri"/>
        <family val="2"/>
        <scheme val="minor"/>
      </rPr>
      <t xml:space="preserve">
Holding No: 1015/1
Gacha Road, Tongi, Gazipur, Bangladesh.</t>
    </r>
  </si>
  <si>
    <t>Esak</t>
  </si>
  <si>
    <t>SAPL</t>
  </si>
  <si>
    <t>OCL</t>
  </si>
  <si>
    <t>Vertex</t>
  </si>
  <si>
    <t>KDS</t>
  </si>
  <si>
    <t>Mongla</t>
  </si>
  <si>
    <t>HELLMANN</t>
  </si>
  <si>
    <t>Nippon</t>
  </si>
  <si>
    <r>
      <rPr>
        <b/>
        <sz val="14"/>
        <color theme="1"/>
        <rFont val="Calibri"/>
        <family val="2"/>
        <scheme val="minor"/>
      </rPr>
      <t>M/S. Kabir &amp; Co.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</si>
  <si>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A.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</si>
  <si>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</si>
  <si>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</si>
  <si>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r>
      <rPr>
        <b/>
        <sz val="14"/>
        <color theme="1"/>
        <rFont val="Calibri"/>
        <family val="2"/>
        <scheme val="minor"/>
      </rPr>
      <t>D.</t>
    </r>
    <r>
      <rPr>
        <sz val="11"/>
        <color theme="1"/>
        <rFont val="Calibri"/>
        <family val="2"/>
        <scheme val="minor"/>
      </rPr>
      <t xml:space="preserve">
1104DT Road West Madarbari,
Chattogram, Bangladesh.</t>
    </r>
  </si>
  <si>
    <t>M/S. Kabir &amp; Co.
1104DT Road West Madarbari,
Chattogram, Bangladesh.</t>
  </si>
  <si>
    <t>Buyer</t>
  </si>
  <si>
    <t>Aldi (GP)</t>
  </si>
  <si>
    <t>Aldi</t>
  </si>
  <si>
    <t>American Eagle (AEO)</t>
  </si>
  <si>
    <t>Artsana</t>
  </si>
  <si>
    <t>As Color Ltd.</t>
  </si>
  <si>
    <t>Carrefour</t>
  </si>
  <si>
    <t>Celio</t>
  </si>
  <si>
    <t>Centric</t>
  </si>
  <si>
    <t>Cotton On</t>
  </si>
  <si>
    <t>Farmers</t>
  </si>
  <si>
    <t>Feuchter</t>
  </si>
  <si>
    <t>Glassons</t>
  </si>
  <si>
    <t>H &amp; M</t>
  </si>
  <si>
    <t>C &amp; A</t>
  </si>
  <si>
    <t>Hummel</t>
  </si>
  <si>
    <t>Hurley</t>
  </si>
  <si>
    <t>INCTL</t>
  </si>
  <si>
    <t>JDY</t>
  </si>
  <si>
    <t>Jack &amp; Jones</t>
  </si>
  <si>
    <t>Kaufland</t>
  </si>
  <si>
    <t>LLC Baltic</t>
  </si>
  <si>
    <t>Lidl</t>
  </si>
  <si>
    <t>MOSAIC BRANDS</t>
  </si>
  <si>
    <t>NZA</t>
  </si>
  <si>
    <t>Next</t>
  </si>
  <si>
    <t>OVS</t>
  </si>
  <si>
    <t>Only</t>
  </si>
  <si>
    <t>Only &amp; Sons</t>
  </si>
  <si>
    <t>PUMA</t>
  </si>
  <si>
    <t>Preston Innovations Europe</t>
  </si>
  <si>
    <t>Primark</t>
  </si>
  <si>
    <t>Tom Tailor</t>
  </si>
  <si>
    <t xml:space="preserve">The Ware House </t>
  </si>
  <si>
    <t>Yamamay</t>
  </si>
  <si>
    <t>Order Number:</t>
  </si>
  <si>
    <t>DELIVERY CHALLAN (Forwarder Copy)</t>
  </si>
  <si>
    <t>DELIVERY CHALLAN (Carrier Copy)</t>
  </si>
  <si>
    <t>DELIVERY CHALLAN (Factory Gate Copy)</t>
  </si>
  <si>
    <t>DELIVERY CHALLAN (Shipping Copy)</t>
  </si>
  <si>
    <r>
      <rPr>
        <b/>
        <sz val="14"/>
        <color theme="1"/>
        <rFont val="Calibri"/>
        <family val="2"/>
        <scheme val="minor"/>
      </rPr>
      <t>Portlink Logistics Centre Ltd (PLCL)</t>
    </r>
    <r>
      <rPr>
        <sz val="11"/>
        <color theme="1"/>
        <rFont val="Calibri"/>
        <family val="2"/>
        <scheme val="minor"/>
      </rPr>
      <t xml:space="preserve">
Tobacco Gate, Banur Bazar, Salimpur, Bhatiary, Sitakunda, Chittagong, Bangladesh.</t>
    </r>
  </si>
  <si>
    <r>
      <rPr>
        <b/>
        <sz val="14"/>
        <color theme="1"/>
        <rFont val="Calibri"/>
        <family val="2"/>
        <scheme val="minor"/>
      </rPr>
      <t>BM Container Depot Limited</t>
    </r>
    <r>
      <rPr>
        <sz val="11"/>
        <color theme="1"/>
        <rFont val="Calibri"/>
        <family val="2"/>
        <scheme val="minor"/>
      </rPr>
      <t xml:space="preserve">
Shitalpur, Keshobpur, Sitakunda, 
Chittagong, Bangladesh.</t>
    </r>
  </si>
  <si>
    <r>
      <rPr>
        <b/>
        <sz val="14"/>
        <color theme="1"/>
        <rFont val="Calibri"/>
        <family val="2"/>
        <scheme val="minor"/>
      </rPr>
      <t>K &amp; T Logistics Limited</t>
    </r>
    <r>
      <rPr>
        <sz val="11"/>
        <color theme="1"/>
        <rFont val="Calibri"/>
        <family val="2"/>
        <scheme val="minor"/>
      </rPr>
      <t xml:space="preserve">
Sector-6A, CEPZ, South Halishahar,
Chittagong, Bangladesh.</t>
    </r>
  </si>
  <si>
    <t>PLCL</t>
  </si>
  <si>
    <t>K &amp; T</t>
  </si>
  <si>
    <t>BM</t>
  </si>
  <si>
    <r>
      <rPr>
        <b/>
        <sz val="14"/>
        <color theme="1"/>
        <rFont val="Calibri"/>
        <family val="2"/>
        <scheme val="minor"/>
      </rPr>
      <t>Summit Alliance Port Ltd. (SAPL).</t>
    </r>
    <r>
      <rPr>
        <sz val="11"/>
        <color theme="1"/>
        <rFont val="Calibri"/>
        <family val="2"/>
        <scheme val="minor"/>
      </rPr>
      <t xml:space="preserve">
Katghar, South Patenga, Chattogram.</t>
    </r>
  </si>
  <si>
    <r>
      <rPr>
        <b/>
        <sz val="14"/>
        <color theme="1"/>
        <rFont val="Calibri"/>
        <family val="2"/>
        <scheme val="minor"/>
      </rPr>
      <t>Summit Alliance Port Limited (OCL).</t>
    </r>
    <r>
      <rPr>
        <sz val="11"/>
        <color theme="1"/>
        <rFont val="Calibri"/>
        <family val="2"/>
        <scheme val="minor"/>
      </rPr>
      <t xml:space="preserve">
Katghar, North Patenga, Chitagong.</t>
    </r>
  </si>
  <si>
    <t>SML</t>
  </si>
  <si>
    <r>
      <rPr>
        <b/>
        <sz val="14"/>
        <color theme="1"/>
        <rFont val="Calibri"/>
        <family val="2"/>
        <scheme val="minor"/>
      </rPr>
      <t>Shafi Motors Limited (SML)</t>
    </r>
    <r>
      <rPr>
        <sz val="11"/>
        <color theme="1"/>
        <rFont val="Calibri"/>
        <family val="2"/>
        <scheme val="minor"/>
      </rPr>
      <t xml:space="preserve">
ICD/CFS : CDA, Plot # 64, Fauzderhat Heavy I/A, Sagorika Avenue, Chattogram.</t>
    </r>
  </si>
  <si>
    <r>
      <rPr>
        <b/>
        <sz val="14"/>
        <color theme="1"/>
        <rFont val="Calibri"/>
        <family val="2"/>
        <scheme val="minor"/>
      </rPr>
      <t>Ispahani Summit Alliance Terminals Limited(Isatl)</t>
    </r>
    <r>
      <rPr>
        <sz val="11"/>
        <color theme="1"/>
        <rFont val="Calibri"/>
        <family val="2"/>
        <scheme val="minor"/>
      </rPr>
      <t xml:space="preserve">
185/260, Dhaka Trunk Road, North Kattali, Pahartali, Chattogram-4207.</t>
    </r>
  </si>
  <si>
    <t>ISATL</t>
  </si>
  <si>
    <t>GCL</t>
  </si>
  <si>
    <r>
      <rPr>
        <b/>
        <sz val="14"/>
        <color theme="1"/>
        <rFont val="Calibri"/>
        <family val="2"/>
        <scheme val="minor"/>
      </rPr>
      <t>Golden Containers Limited (GCL)</t>
    </r>
    <r>
      <rPr>
        <sz val="11"/>
        <color theme="1"/>
        <rFont val="Calibri"/>
        <family val="2"/>
        <scheme val="minor"/>
      </rPr>
      <t xml:space="preserve">
North Kattali, Pahartali, City Gate,
Chittagong, Bangladesh.</t>
    </r>
  </si>
  <si>
    <r>
      <rPr>
        <b/>
        <sz val="14"/>
        <color theme="1"/>
        <rFont val="Calibri"/>
        <family val="2"/>
        <scheme val="minor"/>
      </rPr>
      <t>Nemsan Container Ltd.</t>
    </r>
    <r>
      <rPr>
        <sz val="11"/>
        <color theme="1"/>
        <rFont val="Calibri"/>
        <family val="2"/>
        <scheme val="minor"/>
      </rPr>
      <t xml:space="preserve">
Uttar Sonaichari, Kumira, 
Chittagong, Bangladesh.</t>
    </r>
  </si>
  <si>
    <t>NCL</t>
  </si>
  <si>
    <r>
      <rPr>
        <b/>
        <sz val="14"/>
        <color theme="1"/>
        <rFont val="Calibri"/>
        <family val="2"/>
        <scheme val="minor"/>
      </rPr>
      <t>Haji Saber Ahmed Timber Co. Ltd / Container Yard.</t>
    </r>
    <r>
      <rPr>
        <sz val="11"/>
        <color theme="1"/>
        <rFont val="Calibri"/>
        <family val="2"/>
        <scheme val="minor"/>
      </rPr>
      <t xml:space="preserve">
Infront Of Uniliver Brothers, 
CMB, Kalurghat, Chittagong.</t>
    </r>
  </si>
  <si>
    <t>HSAT Ltd.</t>
  </si>
  <si>
    <t>Best Seller</t>
  </si>
  <si>
    <t>Esack Brothers Industries Ltd.
Middle Halishahar, Bandar
Chattogram, Bangladesh.</t>
  </si>
  <si>
    <t>O522</t>
  </si>
  <si>
    <t>JP 523758</t>
  </si>
  <si>
    <t>323690-5832</t>
  </si>
  <si>
    <t>OD</t>
  </si>
  <si>
    <t>323673-5832</t>
  </si>
  <si>
    <t>308610-5828</t>
  </si>
  <si>
    <t>CO</t>
  </si>
  <si>
    <t>323236-5832</t>
  </si>
  <si>
    <t>SW</t>
  </si>
  <si>
    <t>315866-5832</t>
  </si>
  <si>
    <t>316252-5832</t>
  </si>
  <si>
    <t>317453-5832</t>
  </si>
  <si>
    <t>328562-7952</t>
  </si>
  <si>
    <t>298564-7272</t>
  </si>
  <si>
    <t>KR</t>
  </si>
  <si>
    <t>321334-5828</t>
  </si>
  <si>
    <t>308831-5828</t>
  </si>
  <si>
    <t>327483-7952</t>
  </si>
  <si>
    <t>302669-5832</t>
  </si>
  <si>
    <t>OK</t>
  </si>
  <si>
    <t>304166-7272</t>
  </si>
  <si>
    <t>311047-5828</t>
  </si>
  <si>
    <t>323654-5832</t>
  </si>
  <si>
    <t>318423-5832</t>
  </si>
  <si>
    <t>RS</t>
  </si>
  <si>
    <t>306972-5828</t>
  </si>
  <si>
    <t>CO,HR</t>
  </si>
  <si>
    <t>319437-5832</t>
  </si>
  <si>
    <t>283583-5832</t>
  </si>
  <si>
    <t>318457-5832</t>
  </si>
  <si>
    <t>285477-5832</t>
  </si>
  <si>
    <t>318242-5832</t>
  </si>
  <si>
    <t>309764-7952</t>
  </si>
  <si>
    <t>307361-5832</t>
  </si>
  <si>
    <t>318268-5832</t>
  </si>
  <si>
    <t>SE,ME,RS,BE</t>
  </si>
  <si>
    <t>307395-5832</t>
  </si>
  <si>
    <t>308094-5832</t>
  </si>
  <si>
    <t>SE</t>
  </si>
  <si>
    <t>307398-5832</t>
  </si>
  <si>
    <t>320808-5833</t>
  </si>
  <si>
    <t>ME,BE</t>
  </si>
  <si>
    <t>325378-5832</t>
  </si>
  <si>
    <t>323242-5832</t>
  </si>
  <si>
    <t>HELLMANN WORLDWIDE LOGISTICS.
Hrb Industrial Complex, Istema Road,
Nasimpur, Tongi, Gazipur, Bangladesh.</t>
  </si>
  <si>
    <t>JP 523759</t>
  </si>
  <si>
    <t>317015-5828</t>
  </si>
  <si>
    <t>GBW264</t>
  </si>
  <si>
    <t>LH ITW128</t>
  </si>
  <si>
    <t>LH PLW256</t>
  </si>
  <si>
    <t>OT</t>
  </si>
  <si>
    <t>D.M.NA 17-2041</t>
  </si>
  <si>
    <t>01601-844635</t>
  </si>
  <si>
    <t>DN324072MP016</t>
  </si>
  <si>
    <t>MD.SHOREFUL</t>
  </si>
  <si>
    <t>Nippon Express Bangladesh Ltd.
Holding No: 1015/1
Gacha Road, Tongi, Gazipur, Bangladesh.</t>
  </si>
  <si>
    <t>USW068</t>
  </si>
  <si>
    <t>USW305</t>
  </si>
  <si>
    <t>OB</t>
  </si>
  <si>
    <t>OI INW243</t>
  </si>
  <si>
    <t>OI INW404</t>
  </si>
  <si>
    <t>OJ</t>
  </si>
  <si>
    <t>O523</t>
  </si>
  <si>
    <t>O524</t>
  </si>
  <si>
    <t>O525</t>
  </si>
  <si>
    <t>O526</t>
  </si>
  <si>
    <t>O527</t>
  </si>
  <si>
    <t>O528</t>
  </si>
  <si>
    <t>O529</t>
  </si>
  <si>
    <t>O530</t>
  </si>
  <si>
    <t>O531</t>
  </si>
  <si>
    <t>O532</t>
  </si>
  <si>
    <t>O533</t>
  </si>
  <si>
    <t>O534</t>
  </si>
  <si>
    <t>O536</t>
  </si>
  <si>
    <t>O537</t>
  </si>
  <si>
    <t>O538</t>
  </si>
  <si>
    <t>Summit Alliance Port Ltd. (SAPL).
Katghar, South Patenga, Chattogram.</t>
  </si>
  <si>
    <t>BE</t>
  </si>
  <si>
    <t>992979-3932</t>
  </si>
  <si>
    <t>AU</t>
  </si>
  <si>
    <t>290560-5832</t>
  </si>
  <si>
    <t>290659-5832</t>
  </si>
  <si>
    <t>JP</t>
  </si>
  <si>
    <t>285445-5832</t>
  </si>
  <si>
    <t>OO</t>
  </si>
  <si>
    <t>300623-5832</t>
  </si>
  <si>
    <t>OO,OJ</t>
  </si>
  <si>
    <t>267089-5828</t>
  </si>
  <si>
    <t>HK</t>
  </si>
  <si>
    <t>266270-5828</t>
  </si>
  <si>
    <t>996537-5832</t>
  </si>
  <si>
    <t>CL</t>
  </si>
  <si>
    <t>300624-5832</t>
  </si>
  <si>
    <t>300625-5832</t>
  </si>
  <si>
    <t>300633-5832</t>
  </si>
  <si>
    <t>323659-5832</t>
  </si>
  <si>
    <t>OFITW128</t>
  </si>
  <si>
    <t>318814-7952</t>
  </si>
  <si>
    <t>TR</t>
  </si>
  <si>
    <t>306973-5828</t>
  </si>
  <si>
    <t>980812-1643</t>
  </si>
  <si>
    <t>296214-5832</t>
  </si>
  <si>
    <t>LH</t>
  </si>
  <si>
    <t>993662-7952</t>
  </si>
  <si>
    <t>315863-5832</t>
  </si>
  <si>
    <t>285095-5832</t>
  </si>
  <si>
    <t>287845-5832</t>
  </si>
  <si>
    <t>996544-5832</t>
  </si>
  <si>
    <t>325380-5832</t>
  </si>
  <si>
    <t>300719-5832</t>
  </si>
  <si>
    <t>207718-1643</t>
  </si>
  <si>
    <t>300721-5832</t>
  </si>
  <si>
    <t>986098-1643</t>
  </si>
  <si>
    <t>324414-5832</t>
  </si>
  <si>
    <t>296984-7272</t>
  </si>
  <si>
    <t>300718-5832</t>
  </si>
  <si>
    <t>300726-5832</t>
  </si>
  <si>
    <t>309266-5828</t>
  </si>
  <si>
    <t>JP 523763</t>
  </si>
  <si>
    <t>C.M.TA 11-8410</t>
  </si>
  <si>
    <t>01815-365211</t>
  </si>
  <si>
    <t>MD.VASANI</t>
  </si>
  <si>
    <t>Summit Alliance Port Limited (OCL).
Katghar, North Patenga, Chitagong.</t>
  </si>
  <si>
    <t>JP 523764</t>
  </si>
  <si>
    <t>297318-5828</t>
  </si>
  <si>
    <t>DE</t>
  </si>
  <si>
    <t>297321-5828</t>
  </si>
  <si>
    <t>OFESW267</t>
  </si>
  <si>
    <t>318091-5828</t>
  </si>
  <si>
    <t xml:space="preserve">BED.M.TA </t>
  </si>
  <si>
    <t>D.M.TA 13-0867</t>
  </si>
  <si>
    <t>01875-171707</t>
  </si>
  <si>
    <t>OOOO3</t>
  </si>
  <si>
    <t>MD.OHEDULLA</t>
  </si>
  <si>
    <t>JP 523765</t>
  </si>
  <si>
    <t>NATROCONA NA 11-0049</t>
  </si>
  <si>
    <t>01716-131215</t>
  </si>
  <si>
    <t>DK0026284</t>
  </si>
  <si>
    <t>JP 523766</t>
  </si>
  <si>
    <t>309497-5828</t>
  </si>
  <si>
    <t>OF ESW267</t>
  </si>
  <si>
    <t>297320-5828</t>
  </si>
  <si>
    <t>319464-5832</t>
  </si>
  <si>
    <t>C.M.TA 11-9518</t>
  </si>
  <si>
    <t>01608-806888</t>
  </si>
  <si>
    <t>OOOO1</t>
  </si>
  <si>
    <t>MD.SHOJOL</t>
  </si>
  <si>
    <t>Vertex Off-Dock Logistics Services Ltd.
1443/1509, Old Airport Road, Katghar, North Patenga,
Chattogram 4204, Bangladesh.</t>
  </si>
  <si>
    <t>JP 523767</t>
  </si>
  <si>
    <t>OUSW068</t>
  </si>
  <si>
    <t>EN</t>
  </si>
  <si>
    <t>USW022,USW304,DK</t>
  </si>
  <si>
    <t>OUSW068,OUSW305</t>
  </si>
  <si>
    <t>DK</t>
  </si>
  <si>
    <t>300626-5832</t>
  </si>
  <si>
    <t>USW022,USW304</t>
  </si>
  <si>
    <t>309643-5832</t>
  </si>
  <si>
    <t>307355-5832</t>
  </si>
  <si>
    <t>OUSW068,OUSW305,EN</t>
  </si>
  <si>
    <t>291816-5832</t>
  </si>
  <si>
    <t>283988-5828</t>
  </si>
  <si>
    <t>284072-5828</t>
  </si>
  <si>
    <t>D.M.TA 11-8228</t>
  </si>
  <si>
    <t>01971-748641</t>
  </si>
  <si>
    <t>O259443</t>
  </si>
  <si>
    <t>MD.IBRAHIM</t>
  </si>
  <si>
    <t>JP 523768</t>
  </si>
  <si>
    <t>C.M.TA 11-7555</t>
  </si>
  <si>
    <t>01601-541715</t>
  </si>
  <si>
    <t>OO28551</t>
  </si>
  <si>
    <t>MD.SHOMON</t>
  </si>
  <si>
    <t>JP 523769</t>
  </si>
  <si>
    <t>OT,OFITW128</t>
  </si>
  <si>
    <t>300722-5832</t>
  </si>
  <si>
    <t>316251-5832</t>
  </si>
  <si>
    <t>315865-5832</t>
  </si>
  <si>
    <t>999596-5833</t>
  </si>
  <si>
    <t>987246-1643</t>
  </si>
  <si>
    <t>300635-5832</t>
  </si>
  <si>
    <t>307397-5832</t>
  </si>
  <si>
    <t>300634-5832</t>
  </si>
  <si>
    <t>D.M.TA 11-8563</t>
  </si>
  <si>
    <t>01975-826014</t>
  </si>
  <si>
    <t>O992649</t>
  </si>
  <si>
    <t>MD.PARVAS</t>
  </si>
  <si>
    <t>JP 523770</t>
  </si>
  <si>
    <t>308088-5832</t>
  </si>
  <si>
    <t>US USW022</t>
  </si>
  <si>
    <t>US USW304</t>
  </si>
  <si>
    <t>CM-TA 11-3010</t>
  </si>
  <si>
    <t>01879-127501</t>
  </si>
  <si>
    <t>O679417</t>
  </si>
  <si>
    <t>MD.ROHIM</t>
  </si>
  <si>
    <t>316249-5832</t>
  </si>
  <si>
    <t>JP 523772</t>
  </si>
  <si>
    <t>JP 523773</t>
  </si>
  <si>
    <t>JP 523774</t>
  </si>
  <si>
    <t>DE,BE</t>
  </si>
  <si>
    <t>D.M.AO 11-5177</t>
  </si>
  <si>
    <t>01716-158891</t>
  </si>
  <si>
    <t>MD.RANA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</si>
</sst>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Pcs&quot;"/>
    <numFmt numFmtId="165" formatCode="0\ &quot;Ctn&quot;"/>
    <numFmt numFmtId="166" formatCode="[$-409]d/mmm/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name val="新細明體"/>
      <charset val="136"/>
    </font>
    <font>
      <b/>
      <sz val="12"/>
      <name val="新細明體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.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1" fillId="0" borderId="0"/>
  </cellStyleXfs>
  <cellXfs count="198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/>
    <xf numFmtId="0" fontId="1" fillId="0" borderId="23" xfId="0" applyFont="1" applyBorder="1" applyAlignment="1">
      <alignment vertical="center"/>
    </xf>
    <xf numFmtId="0" fontId="0" fillId="0" borderId="0" xfId="0" applyAlignment="1">
      <alignment vertical="top"/>
    </xf>
    <xf numFmtId="0" fontId="0" fillId="0" borderId="4" xfId="0" applyBorder="1"/>
    <xf numFmtId="0" fontId="0" fillId="0" borderId="0" xfId="0" applyAlignment="1">
      <alignment horizontal="center" vertical="top"/>
    </xf>
    <xf numFmtId="0" fontId="0" fillId="0" borderId="6" xfId="0" applyBorder="1"/>
    <xf numFmtId="0" fontId="0" fillId="0" borderId="3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1" xfId="0" applyBorder="1"/>
    <xf numFmtId="0" fontId="0" fillId="0" borderId="40" xfId="0" applyBorder="1"/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2" borderId="1" xfId="0" applyFill="1" applyBorder="1"/>
    <xf numFmtId="0" fontId="3" fillId="0" borderId="11" xfId="0" applyFont="1" applyBorder="1" applyAlignment="1">
      <alignment horizontal="left"/>
    </xf>
    <xf numFmtId="0" fontId="0" fillId="0" borderId="18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3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17" fillId="0" borderId="1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15" fillId="0" borderId="1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52" xfId="0" applyBorder="1" applyAlignment="1">
      <alignment horizontal="center" vertical="top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6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166" fontId="12" fillId="0" borderId="4" xfId="0" applyNumberFormat="1" applyFont="1" applyBorder="1" applyAlignment="1">
      <alignment horizontal="left"/>
    </xf>
    <xf numFmtId="166" fontId="12" fillId="0" borderId="33" xfId="0" applyNumberFormat="1" applyFont="1" applyBorder="1" applyAlignment="1">
      <alignment horizontal="left"/>
    </xf>
    <xf numFmtId="0" fontId="1" fillId="0" borderId="3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center" vertical="center"/>
    </xf>
    <xf numFmtId="164" fontId="17" fillId="0" borderId="36" xfId="0" applyNumberFormat="1" applyFont="1" applyBorder="1" applyAlignment="1">
      <alignment horizontal="center" vertical="center"/>
    </xf>
    <xf numFmtId="164" fontId="17" fillId="0" borderId="30" xfId="0" applyNumberFormat="1" applyFont="1" applyBorder="1" applyAlignment="1">
      <alignment horizontal="center" vertical="center"/>
    </xf>
    <xf numFmtId="164" fontId="17" fillId="0" borderId="37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16" fillId="0" borderId="39" xfId="0" applyNumberFormat="1" applyFont="1" applyBorder="1" applyAlignment="1">
      <alignment horizontal="center" vertical="center"/>
    </xf>
    <xf numFmtId="165" fontId="16" fillId="0" borderId="12" xfId="0" applyNumberFormat="1" applyFont="1" applyBorder="1" applyAlignment="1">
      <alignment horizontal="center" vertical="center"/>
    </xf>
    <xf numFmtId="165" fontId="16" fillId="0" borderId="46" xfId="0" applyNumberFormat="1" applyFont="1" applyBorder="1" applyAlignment="1">
      <alignment horizontal="center" vertical="center"/>
    </xf>
    <xf numFmtId="164" fontId="16" fillId="0" borderId="39" xfId="0" applyNumberFormat="1" applyFont="1" applyBorder="1" applyAlignment="1">
      <alignment horizontal="center" vertical="center"/>
    </xf>
    <xf numFmtId="164" fontId="16" fillId="0" borderId="46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65" fontId="14" fillId="0" borderId="35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164" fontId="14" fillId="0" borderId="28" xfId="0" applyNumberFormat="1" applyFon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top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5" fontId="16" fillId="0" borderId="47" xfId="0" applyNumberFormat="1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65" fontId="16" fillId="0" borderId="48" xfId="0" applyNumberFormat="1" applyFont="1" applyBorder="1" applyAlignment="1">
      <alignment horizontal="center" vertical="center"/>
    </xf>
    <xf numFmtId="164" fontId="16" fillId="0" borderId="47" xfId="0" applyNumberFormat="1" applyFont="1" applyBorder="1" applyAlignment="1">
      <alignment horizontal="center" vertical="center"/>
    </xf>
    <xf numFmtId="164" fontId="16" fillId="0" borderId="48" xfId="0" applyNumberFormat="1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center" vertical="center"/>
    </xf>
    <xf numFmtId="164" fontId="17" fillId="0" borderId="4" xfId="0" applyNumberFormat="1" applyFont="1" applyBorder="1" applyAlignment="1">
      <alignment horizontal="center" vertical="center"/>
    </xf>
    <xf numFmtId="164" fontId="17" fillId="0" borderId="48" xfId="0" applyNumberFormat="1" applyFont="1" applyBorder="1" applyAlignment="1">
      <alignment horizontal="center" vertical="center"/>
    </xf>
    <xf numFmtId="165" fontId="16" fillId="0" borderId="36" xfId="0" applyNumberFormat="1" applyFont="1" applyBorder="1" applyAlignment="1">
      <alignment horizontal="center" vertical="center"/>
    </xf>
    <xf numFmtId="165" fontId="16" fillId="0" borderId="30" xfId="0" applyNumberFormat="1" applyFont="1" applyBorder="1" applyAlignment="1">
      <alignment horizontal="center" vertical="center"/>
    </xf>
    <xf numFmtId="165" fontId="16" fillId="0" borderId="37" xfId="0" applyNumberFormat="1" applyFont="1" applyBorder="1" applyAlignment="1">
      <alignment horizontal="center" vertical="center"/>
    </xf>
    <xf numFmtId="164" fontId="16" fillId="0" borderId="36" xfId="0" applyNumberFormat="1" applyFont="1" applyBorder="1" applyAlignment="1">
      <alignment horizontal="center" vertical="center"/>
    </xf>
    <xf numFmtId="164" fontId="16" fillId="0" borderId="37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38C59BE8-E5DF-4C92-8841-95AE98270D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microsoft.com/office/2017/10/relationships/person" Target="persons/person0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3E46C-F40D-44CF-AEA0-883011B5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185200"/>
          <a:ext cx="1087342" cy="637098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AD75B44A-80CE-447D-B7D9-10F26117D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1188952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26D08703-827A-4C63-B566-A772B296D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235938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AE107708-A8E2-4DAA-AEC4-E7D89574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017" y="35298160"/>
          <a:ext cx="1086679" cy="63610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0F808-B5B5-485A-B5A6-FA691538B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A517C9B9-3EF6-477E-B250-B6E2286C4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271AD7DA-A083-449A-8A1A-30DAA5E9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DB78A551-7FE6-457F-A61B-330999E7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E16316-32F3-43A3-A4D2-6D58493CA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55B5D9A4-E8F2-4DAB-AE92-B681078CC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3C8C8D1F-9ADA-40E5-ADE8-3BA8F6869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53276427-3ABF-4D12-9D29-6C6616DC7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C9F4E6-F1E3-46E0-A9BF-A25FB7FD8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BBB129D8-9A92-452A-BE1D-92354C6B6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0A7D2E81-F501-47F7-8B3B-42314519C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4C0B93FC-632D-4B8E-A6F5-B8E755C50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2E1BB-0F14-4A08-AEC9-DFF0B5BC1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942E4F0F-B4E7-48CD-B849-0D3653DF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614299B0-8B09-4821-9CE8-73040AF30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708AF4E3-A551-4A9B-8A44-08895706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0B459-A74E-4ABD-8BD2-F1416AC9E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1544ED5E-89BA-4388-A671-6CEF2FA0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E85607B1-5E02-4A15-BDD1-9F20C1C3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71B60217-9296-4316-9338-FF0C5E955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2B291-E09C-4368-BED7-3F4E3B8B0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A805EFC1-C7E1-42C8-8D31-C6717919C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E4E5F9D5-0407-4DCF-8FC3-028A4BB56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D4F8B37D-B148-4575-9625-C8F44FB26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DBCB4-828D-4F3B-93E4-A5634F60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117E53A8-9E4E-4963-BC2E-55749E352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5BCFF0AC-0095-4119-8674-AC068A433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E392B60D-7C9A-470C-AA10-C4D98003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369BB8-725E-453C-A484-02B328236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C9C27D92-41D0-4F51-9ABD-FCD8E7D88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2DFAB56A-AD9B-49A5-92A3-C49BC1F03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0581D19A-348B-4644-8D0B-F4BE2A5A8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CA6D1-0FF8-4083-8D2A-DB0179907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45D2F36B-B9C8-41AD-A631-8E9AEC4B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91AC6DD9-00C8-4353-8DFD-E1C039026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3D02923A-14CB-45DE-9B1A-56E4EA307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20027-E902-4953-8F17-EE262E980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BA4663FA-B3D4-482D-A3E7-38AECE538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5B1CF979-BF08-4365-BB0A-145A12A09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3501C0E4-9A32-4840-9D3B-061B006F4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17A5D-BE32-4CB5-AA3E-C90CB1D0E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9A2E829E-1139-4718-B872-E89230D01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A24674E7-07F9-4531-89AD-BCB16E55A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8083CC88-4242-4CFD-A4D5-98385D4C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5D8D33-2F99-4BA3-8D5B-24EE973BC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8AE7FFE1-B7E0-4CFA-96E9-C1B74AC19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D5993651-31E9-4F2C-90B5-D3435908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6204BDCB-2849-4B72-8CFA-8DE87A44B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A477E4-A3DD-482D-9D7A-3AF2DAF83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40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A1A7553F-1762-444A-B49F-FF2BCBE60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80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979EBFFA-8E26-46FA-9110-9B5475FD2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120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0FBE31F8-27A8-443E-AAC9-2EDD6AD3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3A03A-0C10-4CA2-BF98-9325A0151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0A713417-00FE-4F09-BAAE-7A7E8289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F1D1E4F5-5AB5-4561-97C6-CFF5281E4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5480A5B2-CBDE-47CF-A253-E155BBE23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288237</xdr:colOff>
      <xdr:row>1</xdr:row>
      <xdr:rowOff>86140</xdr:rowOff>
    </xdr:from>
    <xdr:to>
      <xdr:col>4</xdr:col>
      <xdr:colOff>49699</xdr:colOff>
      <xdr:row>2</xdr:row>
      <xdr:rowOff>258418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3B80D-6E2D-49BF-97F0-0FD0A4116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90915"/>
          <a:ext cx="1056862" cy="639003"/>
        </a:xfrm>
        <a:prstGeom prst="rect">
          <a:avLst/>
        </a:prstGeom>
      </xdr:spPr>
    </xdr:pic>
    <xdr:clientData/>
  </xdr:twoCellAnchor>
  <xdr:oneCellAnchor>
    <xdr:from>
      <xdr:col>2</xdr:col>
      <xdr:colOff>288237</xdr:colOff>
      <xdr:row>41</xdr:row>
      <xdr:rowOff>86140</xdr:rowOff>
    </xdr:from>
    <xdr:ext cx="1086679" cy="636104"/>
    <xdr:pic>
      <xdr:nvPicPr>
        <xdr:cNvPr id="3" name="Picture 2">
          <a:extLst>
            <a:ext uri="{FF2B5EF4-FFF2-40B4-BE49-F238E27FC236}">
              <a16:creationId xmlns:a16="http://schemas.microsoft.com/office/drawing/2014/main" id="{D582F690-90BF-485A-8C87-C3F0A673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11897140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81</xdr:row>
      <xdr:rowOff>86140</xdr:rowOff>
    </xdr:from>
    <xdr:ext cx="1086679" cy="636104"/>
    <xdr:pic>
      <xdr:nvPicPr>
        <xdr:cNvPr id="4" name="Picture 3">
          <a:extLst>
            <a:ext uri="{FF2B5EF4-FFF2-40B4-BE49-F238E27FC236}">
              <a16:creationId xmlns:a16="http://schemas.microsoft.com/office/drawing/2014/main" id="{C9A2C252-F0AF-4D03-883B-7CF8F0469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23603365"/>
          <a:ext cx="1086679" cy="636104"/>
        </a:xfrm>
        <a:prstGeom prst="rect">
          <a:avLst/>
        </a:prstGeom>
      </xdr:spPr>
    </xdr:pic>
    <xdr:clientData/>
  </xdr:oneCellAnchor>
  <xdr:oneCellAnchor>
    <xdr:from>
      <xdr:col>2</xdr:col>
      <xdr:colOff>288237</xdr:colOff>
      <xdr:row>121</xdr:row>
      <xdr:rowOff>86140</xdr:rowOff>
    </xdr:from>
    <xdr:ext cx="1086679" cy="636104"/>
    <xdr:pic>
      <xdr:nvPicPr>
        <xdr:cNvPr id="5" name="Picture 4">
          <a:extLst>
            <a:ext uri="{FF2B5EF4-FFF2-40B4-BE49-F238E27FC236}">
              <a16:creationId xmlns:a16="http://schemas.microsoft.com/office/drawing/2014/main" id="{5D91212A-C88B-4A24-B67B-5AE8CA58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787" y="35309590"/>
          <a:ext cx="1086679" cy="63610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1723-931A-462E-B7FC-442983D98E6F}">
  <sheetPr>
    <tabColor rgb="FF00B050"/>
  </sheetPr>
  <dimension ref="A1:Y168"/>
  <sheetViews>
    <sheetView view="pageBreakPreview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113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280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112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115</v>
      </c>
      <c r="C15" s="146"/>
      <c r="D15" s="146"/>
      <c r="E15" s="146"/>
      <c r="F15" s="146"/>
      <c r="G15" s="146"/>
      <c r="H15" s="147">
        <v>1</v>
      </c>
      <c r="I15" s="148"/>
      <c r="J15" s="149"/>
      <c r="K15" s="150">
        <v>41</v>
      </c>
      <c r="L15" s="151"/>
      <c r="M15" s="133" t="s">
        <v>116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117</v>
      </c>
      <c r="C16" s="136"/>
      <c r="D16" s="136"/>
      <c r="E16" s="136"/>
      <c r="F16" s="136"/>
      <c r="G16" s="136"/>
      <c r="H16" s="137">
        <v>1</v>
      </c>
      <c r="I16" s="137"/>
      <c r="J16" s="137"/>
      <c r="K16" s="138">
        <v>45</v>
      </c>
      <c r="L16" s="138"/>
      <c r="M16" s="139" t="s">
        <v>116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118</v>
      </c>
      <c r="C17" s="136"/>
      <c r="D17" s="136"/>
      <c r="E17" s="136"/>
      <c r="F17" s="136"/>
      <c r="G17" s="136"/>
      <c r="H17" s="137">
        <v>3</v>
      </c>
      <c r="I17" s="137"/>
      <c r="J17" s="137"/>
      <c r="K17" s="138">
        <v>132</v>
      </c>
      <c r="L17" s="138"/>
      <c r="M17" s="139" t="s">
        <v>119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120</v>
      </c>
      <c r="C18" s="136"/>
      <c r="D18" s="136"/>
      <c r="E18" s="136"/>
      <c r="F18" s="136"/>
      <c r="G18" s="136"/>
      <c r="H18" s="137">
        <v>17</v>
      </c>
      <c r="I18" s="137"/>
      <c r="J18" s="137"/>
      <c r="K18" s="138">
        <v>1550</v>
      </c>
      <c r="L18" s="138"/>
      <c r="M18" s="139" t="s">
        <v>121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122</v>
      </c>
      <c r="C19" s="136"/>
      <c r="D19" s="136"/>
      <c r="E19" s="136"/>
      <c r="F19" s="136"/>
      <c r="G19" s="136"/>
      <c r="H19" s="137">
        <v>3</v>
      </c>
      <c r="I19" s="137"/>
      <c r="J19" s="137"/>
      <c r="K19" s="138">
        <v>143</v>
      </c>
      <c r="L19" s="138"/>
      <c r="M19" s="139" t="s">
        <v>121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123</v>
      </c>
      <c r="C20" s="136"/>
      <c r="D20" s="136"/>
      <c r="E20" s="136"/>
      <c r="F20" s="136"/>
      <c r="G20" s="136"/>
      <c r="H20" s="137">
        <v>8</v>
      </c>
      <c r="I20" s="137"/>
      <c r="J20" s="137"/>
      <c r="K20" s="138">
        <v>550</v>
      </c>
      <c r="L20" s="138"/>
      <c r="M20" s="152" t="s">
        <v>151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124</v>
      </c>
      <c r="C21" s="136"/>
      <c r="D21" s="136"/>
      <c r="E21" s="136"/>
      <c r="F21" s="136"/>
      <c r="G21" s="136"/>
      <c r="H21" s="137">
        <v>11</v>
      </c>
      <c r="I21" s="137"/>
      <c r="J21" s="137"/>
      <c r="K21" s="138">
        <v>921</v>
      </c>
      <c r="L21" s="138"/>
      <c r="M21" s="139" t="s">
        <v>121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 t="s">
        <v>125</v>
      </c>
      <c r="C22" s="136"/>
      <c r="D22" s="136"/>
      <c r="E22" s="136"/>
      <c r="F22" s="136"/>
      <c r="G22" s="136"/>
      <c r="H22" s="137">
        <v>15</v>
      </c>
      <c r="I22" s="137"/>
      <c r="J22" s="137"/>
      <c r="K22" s="138">
        <v>800</v>
      </c>
      <c r="L22" s="138"/>
      <c r="M22" s="139" t="s">
        <v>121</v>
      </c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 t="s">
        <v>126</v>
      </c>
      <c r="C23" s="136"/>
      <c r="D23" s="136"/>
      <c r="E23" s="136"/>
      <c r="F23" s="136"/>
      <c r="G23" s="136"/>
      <c r="H23" s="137">
        <v>8</v>
      </c>
      <c r="I23" s="137"/>
      <c r="J23" s="137"/>
      <c r="K23" s="138">
        <v>556</v>
      </c>
      <c r="L23" s="138"/>
      <c r="M23" s="139" t="s">
        <v>127</v>
      </c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 t="s">
        <v>128</v>
      </c>
      <c r="C24" s="136"/>
      <c r="D24" s="136"/>
      <c r="E24" s="136"/>
      <c r="F24" s="136"/>
      <c r="G24" s="136"/>
      <c r="H24" s="137">
        <v>7</v>
      </c>
      <c r="I24" s="137"/>
      <c r="J24" s="137"/>
      <c r="K24" s="138">
        <v>318</v>
      </c>
      <c r="L24" s="138"/>
      <c r="M24" s="139" t="s">
        <v>121</v>
      </c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 t="s">
        <v>129</v>
      </c>
      <c r="C25" s="136"/>
      <c r="D25" s="136"/>
      <c r="E25" s="136"/>
      <c r="F25" s="136"/>
      <c r="G25" s="136"/>
      <c r="H25" s="137">
        <v>1</v>
      </c>
      <c r="I25" s="137"/>
      <c r="J25" s="137"/>
      <c r="K25" s="138">
        <v>21</v>
      </c>
      <c r="L25" s="138"/>
      <c r="M25" s="139" t="s">
        <v>116</v>
      </c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 t="s">
        <v>130</v>
      </c>
      <c r="C26" s="136"/>
      <c r="D26" s="136"/>
      <c r="E26" s="136"/>
      <c r="F26" s="136"/>
      <c r="G26" s="136"/>
      <c r="H26" s="137">
        <v>6</v>
      </c>
      <c r="I26" s="137"/>
      <c r="J26" s="137"/>
      <c r="K26" s="138">
        <v>314</v>
      </c>
      <c r="L26" s="138"/>
      <c r="M26" s="139" t="s">
        <v>121</v>
      </c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 t="s">
        <v>131</v>
      </c>
      <c r="C27" s="136"/>
      <c r="D27" s="136"/>
      <c r="E27" s="136"/>
      <c r="F27" s="136"/>
      <c r="G27" s="136"/>
      <c r="H27" s="137">
        <v>2</v>
      </c>
      <c r="I27" s="137"/>
      <c r="J27" s="137"/>
      <c r="K27" s="138">
        <v>57</v>
      </c>
      <c r="L27" s="138"/>
      <c r="M27" s="139" t="s">
        <v>132</v>
      </c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 t="s">
        <v>133</v>
      </c>
      <c r="C28" s="136"/>
      <c r="D28" s="136"/>
      <c r="E28" s="136"/>
      <c r="F28" s="136"/>
      <c r="G28" s="136"/>
      <c r="H28" s="137">
        <v>2</v>
      </c>
      <c r="I28" s="137"/>
      <c r="J28" s="137"/>
      <c r="K28" s="138">
        <v>84</v>
      </c>
      <c r="L28" s="138"/>
      <c r="M28" s="139" t="s">
        <v>132</v>
      </c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 t="s">
        <v>134</v>
      </c>
      <c r="C29" s="136"/>
      <c r="D29" s="136"/>
      <c r="E29" s="136"/>
      <c r="F29" s="136"/>
      <c r="G29" s="136"/>
      <c r="H29" s="137">
        <v>3</v>
      </c>
      <c r="I29" s="137"/>
      <c r="J29" s="137"/>
      <c r="K29" s="138">
        <v>136</v>
      </c>
      <c r="L29" s="138"/>
      <c r="M29" s="139" t="s">
        <v>121</v>
      </c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 t="s">
        <v>135</v>
      </c>
      <c r="C30" s="136"/>
      <c r="D30" s="136"/>
      <c r="E30" s="136"/>
      <c r="F30" s="136"/>
      <c r="G30" s="136"/>
      <c r="H30" s="137">
        <v>1</v>
      </c>
      <c r="I30" s="137"/>
      <c r="J30" s="137"/>
      <c r="K30" s="138">
        <v>18</v>
      </c>
      <c r="L30" s="138"/>
      <c r="M30" s="139" t="s">
        <v>116</v>
      </c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 t="s">
        <v>136</v>
      </c>
      <c r="C31" s="136"/>
      <c r="D31" s="136"/>
      <c r="E31" s="136"/>
      <c r="F31" s="136"/>
      <c r="G31" s="136"/>
      <c r="H31" s="137">
        <v>2</v>
      </c>
      <c r="I31" s="137"/>
      <c r="J31" s="137"/>
      <c r="K31" s="138">
        <v>123</v>
      </c>
      <c r="L31" s="138"/>
      <c r="M31" s="139" t="s">
        <v>137</v>
      </c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 t="s">
        <v>138</v>
      </c>
      <c r="C32" s="136"/>
      <c r="D32" s="136"/>
      <c r="E32" s="136"/>
      <c r="F32" s="136"/>
      <c r="G32" s="136"/>
      <c r="H32" s="137">
        <v>8</v>
      </c>
      <c r="I32" s="137"/>
      <c r="J32" s="137"/>
      <c r="K32" s="138">
        <v>568</v>
      </c>
      <c r="L32" s="138"/>
      <c r="M32" s="139" t="s">
        <v>139</v>
      </c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 t="s">
        <v>140</v>
      </c>
      <c r="C33" s="136"/>
      <c r="D33" s="136"/>
      <c r="E33" s="136"/>
      <c r="F33" s="136"/>
      <c r="G33" s="136"/>
      <c r="H33" s="137">
        <v>2</v>
      </c>
      <c r="I33" s="137"/>
      <c r="J33" s="137"/>
      <c r="K33" s="138">
        <v>92</v>
      </c>
      <c r="L33" s="138"/>
      <c r="M33" s="139" t="s">
        <v>116</v>
      </c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 t="s">
        <v>141</v>
      </c>
      <c r="C34" s="136"/>
      <c r="D34" s="136"/>
      <c r="E34" s="136"/>
      <c r="F34" s="136"/>
      <c r="G34" s="136"/>
      <c r="H34" s="137">
        <v>1</v>
      </c>
      <c r="I34" s="137"/>
      <c r="J34" s="137"/>
      <c r="K34" s="138">
        <v>13</v>
      </c>
      <c r="L34" s="138"/>
      <c r="M34" s="139" t="s">
        <v>132</v>
      </c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102</v>
      </c>
      <c r="I35" s="156"/>
      <c r="J35" s="157"/>
      <c r="K35" s="158">
        <f>SUM(K15:L34)</f>
        <v>6482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284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282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283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281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6"/>
      <c r="I40" s="6"/>
      <c r="J40" s="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O522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523768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Esack Brothers Industries Ltd.
Middle Halishahar, Bandar
Chattogram,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1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323690-5832</v>
      </c>
      <c r="C55" s="146"/>
      <c r="D55" s="146"/>
      <c r="E55" s="146"/>
      <c r="F55" s="146"/>
      <c r="G55" s="146"/>
      <c r="H55" s="147">
        <f>H15</f>
        <v>1</v>
      </c>
      <c r="I55" s="148"/>
      <c r="J55" s="149"/>
      <c r="K55" s="150">
        <f>K15</f>
        <v>41</v>
      </c>
      <c r="L55" s="151"/>
      <c r="M55" s="133" t="str">
        <f>M15</f>
        <v>OD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323673-5832</v>
      </c>
      <c r="C56" s="136"/>
      <c r="D56" s="136"/>
      <c r="E56" s="136"/>
      <c r="F56" s="136"/>
      <c r="G56" s="136"/>
      <c r="H56" s="137">
        <f>H16</f>
        <v>1</v>
      </c>
      <c r="I56" s="137"/>
      <c r="J56" s="137"/>
      <c r="K56" s="138">
        <f>K16</f>
        <v>45</v>
      </c>
      <c r="L56" s="138"/>
      <c r="M56" s="139" t="str">
        <f t="shared" ref="M56:M74" si="0">M16</f>
        <v>OD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308610-5828</v>
      </c>
      <c r="C57" s="136"/>
      <c r="D57" s="136"/>
      <c r="E57" s="136"/>
      <c r="F57" s="136"/>
      <c r="G57" s="136"/>
      <c r="H57" s="137">
        <f>H17</f>
        <v>3</v>
      </c>
      <c r="I57" s="137"/>
      <c r="J57" s="137"/>
      <c r="K57" s="138">
        <f>K17</f>
        <v>132</v>
      </c>
      <c r="L57" s="138"/>
      <c r="M57" s="139" t="str">
        <f t="shared" si="0"/>
        <v>CO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323236-5832</v>
      </c>
      <c r="C58" s="136"/>
      <c r="D58" s="136"/>
      <c r="E58" s="136"/>
      <c r="F58" s="136"/>
      <c r="G58" s="136"/>
      <c r="H58" s="137">
        <f t="shared" ref="H58:H74" si="3">H18</f>
        <v>17</v>
      </c>
      <c r="I58" s="137"/>
      <c r="J58" s="137"/>
      <c r="K58" s="138">
        <f t="shared" ref="K58:K74" si="4">K18</f>
        <v>1550</v>
      </c>
      <c r="L58" s="138"/>
      <c r="M58" s="139" t="str">
        <f t="shared" si="0"/>
        <v>SW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315866-5832</v>
      </c>
      <c r="C59" s="136"/>
      <c r="D59" s="136"/>
      <c r="E59" s="136"/>
      <c r="F59" s="136"/>
      <c r="G59" s="136"/>
      <c r="H59" s="137">
        <f t="shared" si="3"/>
        <v>3</v>
      </c>
      <c r="I59" s="137"/>
      <c r="J59" s="137"/>
      <c r="K59" s="138">
        <f t="shared" si="4"/>
        <v>143</v>
      </c>
      <c r="L59" s="138"/>
      <c r="M59" s="139" t="str">
        <f t="shared" si="0"/>
        <v>SW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316252-5832</v>
      </c>
      <c r="C60" s="136"/>
      <c r="D60" s="136"/>
      <c r="E60" s="136"/>
      <c r="F60" s="136"/>
      <c r="G60" s="136"/>
      <c r="H60" s="137">
        <f t="shared" si="3"/>
        <v>8</v>
      </c>
      <c r="I60" s="137"/>
      <c r="J60" s="137"/>
      <c r="K60" s="138">
        <f t="shared" si="4"/>
        <v>550</v>
      </c>
      <c r="L60" s="138"/>
      <c r="M60" s="139" t="str">
        <f t="shared" si="0"/>
        <v>SE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317453-5832</v>
      </c>
      <c r="C61" s="136"/>
      <c r="D61" s="136"/>
      <c r="E61" s="136"/>
      <c r="F61" s="136"/>
      <c r="G61" s="136"/>
      <c r="H61" s="137">
        <f t="shared" si="3"/>
        <v>11</v>
      </c>
      <c r="I61" s="137"/>
      <c r="J61" s="137"/>
      <c r="K61" s="138">
        <f t="shared" si="4"/>
        <v>921</v>
      </c>
      <c r="L61" s="138"/>
      <c r="M61" s="139" t="str">
        <f t="shared" si="0"/>
        <v>SW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 t="str">
        <f t="shared" si="1"/>
        <v>328562-7952</v>
      </c>
      <c r="C62" s="136"/>
      <c r="D62" s="136"/>
      <c r="E62" s="136"/>
      <c r="F62" s="136"/>
      <c r="G62" s="136"/>
      <c r="H62" s="137">
        <f t="shared" si="3"/>
        <v>15</v>
      </c>
      <c r="I62" s="137"/>
      <c r="J62" s="137"/>
      <c r="K62" s="138">
        <f t="shared" si="4"/>
        <v>800</v>
      </c>
      <c r="L62" s="138"/>
      <c r="M62" s="139" t="str">
        <f t="shared" si="0"/>
        <v>SW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 t="str">
        <f t="shared" si="1"/>
        <v>298564-7272</v>
      </c>
      <c r="C63" s="136"/>
      <c r="D63" s="136"/>
      <c r="E63" s="136"/>
      <c r="F63" s="136"/>
      <c r="G63" s="136"/>
      <c r="H63" s="137">
        <f t="shared" si="3"/>
        <v>8</v>
      </c>
      <c r="I63" s="137"/>
      <c r="J63" s="137"/>
      <c r="K63" s="138">
        <f t="shared" si="4"/>
        <v>556</v>
      </c>
      <c r="L63" s="138"/>
      <c r="M63" s="139" t="str">
        <f t="shared" si="0"/>
        <v>KR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 t="str">
        <f t="shared" si="1"/>
        <v>321334-5828</v>
      </c>
      <c r="C64" s="136"/>
      <c r="D64" s="136"/>
      <c r="E64" s="136"/>
      <c r="F64" s="136"/>
      <c r="G64" s="136"/>
      <c r="H64" s="137">
        <f t="shared" si="3"/>
        <v>7</v>
      </c>
      <c r="I64" s="137"/>
      <c r="J64" s="137"/>
      <c r="K64" s="138">
        <f t="shared" si="4"/>
        <v>318</v>
      </c>
      <c r="L64" s="138"/>
      <c r="M64" s="139" t="str">
        <f t="shared" si="0"/>
        <v>SW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 t="str">
        <f t="shared" si="1"/>
        <v>308831-5828</v>
      </c>
      <c r="C65" s="136"/>
      <c r="D65" s="136"/>
      <c r="E65" s="136"/>
      <c r="F65" s="136"/>
      <c r="G65" s="136"/>
      <c r="H65" s="137">
        <f t="shared" si="3"/>
        <v>1</v>
      </c>
      <c r="I65" s="137"/>
      <c r="J65" s="137"/>
      <c r="K65" s="138">
        <f t="shared" si="4"/>
        <v>21</v>
      </c>
      <c r="L65" s="138"/>
      <c r="M65" s="139" t="str">
        <f t="shared" si="0"/>
        <v>OD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 t="str">
        <f t="shared" si="1"/>
        <v>327483-7952</v>
      </c>
      <c r="C66" s="136"/>
      <c r="D66" s="136"/>
      <c r="E66" s="136"/>
      <c r="F66" s="136"/>
      <c r="G66" s="136"/>
      <c r="H66" s="137">
        <f t="shared" si="3"/>
        <v>6</v>
      </c>
      <c r="I66" s="137"/>
      <c r="J66" s="137"/>
      <c r="K66" s="138">
        <f t="shared" si="4"/>
        <v>314</v>
      </c>
      <c r="L66" s="138"/>
      <c r="M66" s="139" t="str">
        <f t="shared" si="0"/>
        <v>SW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 t="str">
        <f t="shared" si="1"/>
        <v>302669-5832</v>
      </c>
      <c r="C67" s="136"/>
      <c r="D67" s="136"/>
      <c r="E67" s="136"/>
      <c r="F67" s="136"/>
      <c r="G67" s="136"/>
      <c r="H67" s="137">
        <f t="shared" si="3"/>
        <v>2</v>
      </c>
      <c r="I67" s="137"/>
      <c r="J67" s="137"/>
      <c r="K67" s="138">
        <f t="shared" si="4"/>
        <v>57</v>
      </c>
      <c r="L67" s="138"/>
      <c r="M67" s="139" t="str">
        <f t="shared" si="0"/>
        <v>OK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 t="str">
        <f t="shared" si="1"/>
        <v>304166-7272</v>
      </c>
      <c r="C68" s="136"/>
      <c r="D68" s="136"/>
      <c r="E68" s="136"/>
      <c r="F68" s="136"/>
      <c r="G68" s="136"/>
      <c r="H68" s="137">
        <f t="shared" si="3"/>
        <v>2</v>
      </c>
      <c r="I68" s="137"/>
      <c r="J68" s="137"/>
      <c r="K68" s="138">
        <f t="shared" si="4"/>
        <v>84</v>
      </c>
      <c r="L68" s="138"/>
      <c r="M68" s="139" t="str">
        <f t="shared" si="0"/>
        <v>OK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 t="str">
        <f t="shared" si="1"/>
        <v>311047-5828</v>
      </c>
      <c r="C69" s="136"/>
      <c r="D69" s="136"/>
      <c r="E69" s="136"/>
      <c r="F69" s="136"/>
      <c r="G69" s="136"/>
      <c r="H69" s="137">
        <f t="shared" si="3"/>
        <v>3</v>
      </c>
      <c r="I69" s="137"/>
      <c r="J69" s="137"/>
      <c r="K69" s="138">
        <f t="shared" si="4"/>
        <v>136</v>
      </c>
      <c r="L69" s="138"/>
      <c r="M69" s="139" t="str">
        <f t="shared" si="0"/>
        <v>SW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 t="str">
        <f t="shared" si="1"/>
        <v>323654-5832</v>
      </c>
      <c r="C70" s="136"/>
      <c r="D70" s="136"/>
      <c r="E70" s="136"/>
      <c r="F70" s="136"/>
      <c r="G70" s="136"/>
      <c r="H70" s="137">
        <f t="shared" si="3"/>
        <v>1</v>
      </c>
      <c r="I70" s="137"/>
      <c r="J70" s="137"/>
      <c r="K70" s="138">
        <f t="shared" si="4"/>
        <v>18</v>
      </c>
      <c r="L70" s="138"/>
      <c r="M70" s="139" t="str">
        <f t="shared" si="0"/>
        <v>OD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 t="str">
        <f t="shared" si="1"/>
        <v>318423-5832</v>
      </c>
      <c r="C71" s="136"/>
      <c r="D71" s="136"/>
      <c r="E71" s="136"/>
      <c r="F71" s="136"/>
      <c r="G71" s="136"/>
      <c r="H71" s="137">
        <f t="shared" si="3"/>
        <v>2</v>
      </c>
      <c r="I71" s="137"/>
      <c r="J71" s="137"/>
      <c r="K71" s="138">
        <f t="shared" si="4"/>
        <v>123</v>
      </c>
      <c r="L71" s="138"/>
      <c r="M71" s="139" t="str">
        <f t="shared" si="0"/>
        <v>RS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 t="str">
        <f t="shared" si="1"/>
        <v>306972-5828</v>
      </c>
      <c r="C72" s="136"/>
      <c r="D72" s="136"/>
      <c r="E72" s="136"/>
      <c r="F72" s="136"/>
      <c r="G72" s="136"/>
      <c r="H72" s="137">
        <f t="shared" si="3"/>
        <v>8</v>
      </c>
      <c r="I72" s="137"/>
      <c r="J72" s="137"/>
      <c r="K72" s="138">
        <f t="shared" si="4"/>
        <v>568</v>
      </c>
      <c r="L72" s="138"/>
      <c r="M72" s="139" t="str">
        <f t="shared" si="0"/>
        <v>CO,HR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 t="str">
        <f t="shared" si="5"/>
        <v>319437-5832</v>
      </c>
      <c r="C73" s="136"/>
      <c r="D73" s="136"/>
      <c r="E73" s="136"/>
      <c r="F73" s="136"/>
      <c r="G73" s="136"/>
      <c r="H73" s="137">
        <f t="shared" si="3"/>
        <v>2</v>
      </c>
      <c r="I73" s="137"/>
      <c r="J73" s="137"/>
      <c r="K73" s="138">
        <f t="shared" si="4"/>
        <v>92</v>
      </c>
      <c r="L73" s="138"/>
      <c r="M73" s="139" t="str">
        <f t="shared" si="0"/>
        <v>OD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 t="str">
        <f t="shared" si="5"/>
        <v>283583-5832</v>
      </c>
      <c r="C74" s="136"/>
      <c r="D74" s="136"/>
      <c r="E74" s="136"/>
      <c r="F74" s="136"/>
      <c r="G74" s="136"/>
      <c r="H74" s="137">
        <f t="shared" si="3"/>
        <v>1</v>
      </c>
      <c r="I74" s="137"/>
      <c r="J74" s="137"/>
      <c r="K74" s="138">
        <f t="shared" si="4"/>
        <v>13</v>
      </c>
      <c r="L74" s="138"/>
      <c r="M74" s="139" t="str">
        <f t="shared" si="0"/>
        <v>OK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102</v>
      </c>
      <c r="I75" s="156"/>
      <c r="J75" s="157"/>
      <c r="K75" s="158">
        <f>SUM(K55:L74)</f>
        <v>6482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MD.SHOMON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01601-541715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OO28551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C.M.TA 11-7555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6"/>
      <c r="I80" s="6"/>
      <c r="J80" s="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O522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523768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Esack Brothers Industries Ltd.
Middle Halishahar, Bandar
Chattogram,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1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323690-5832</v>
      </c>
      <c r="C95" s="146"/>
      <c r="D95" s="146"/>
      <c r="E95" s="146"/>
      <c r="F95" s="146"/>
      <c r="G95" s="146"/>
      <c r="H95" s="147">
        <f>H55</f>
        <v>1</v>
      </c>
      <c r="I95" s="148"/>
      <c r="J95" s="149"/>
      <c r="K95" s="150">
        <f>K55</f>
        <v>41</v>
      </c>
      <c r="L95" s="151"/>
      <c r="M95" s="133" t="str">
        <f>M55</f>
        <v>OD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323673-5832</v>
      </c>
      <c r="C96" s="136"/>
      <c r="D96" s="136"/>
      <c r="E96" s="136"/>
      <c r="F96" s="136"/>
      <c r="G96" s="136"/>
      <c r="H96" s="137">
        <f>H56</f>
        <v>1</v>
      </c>
      <c r="I96" s="137"/>
      <c r="J96" s="137"/>
      <c r="K96" s="138">
        <f>K56</f>
        <v>45</v>
      </c>
      <c r="L96" s="138"/>
      <c r="M96" s="139" t="str">
        <f>M56</f>
        <v>OD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308610-5828</v>
      </c>
      <c r="C97" s="136"/>
      <c r="D97" s="136"/>
      <c r="E97" s="136"/>
      <c r="F97" s="136"/>
      <c r="G97" s="136"/>
      <c r="H97" s="137">
        <f>H57</f>
        <v>3</v>
      </c>
      <c r="I97" s="137"/>
      <c r="J97" s="137"/>
      <c r="K97" s="138">
        <f>K57</f>
        <v>132</v>
      </c>
      <c r="L97" s="138"/>
      <c r="M97" s="139" t="str">
        <f t="shared" ref="M97:M114" si="7">M57</f>
        <v>CO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323236-5832</v>
      </c>
      <c r="C98" s="136"/>
      <c r="D98" s="136"/>
      <c r="E98" s="136"/>
      <c r="F98" s="136"/>
      <c r="G98" s="136"/>
      <c r="H98" s="137">
        <f t="shared" ref="H98:H114" si="9">H58</f>
        <v>17</v>
      </c>
      <c r="I98" s="137"/>
      <c r="J98" s="137"/>
      <c r="K98" s="138">
        <f t="shared" ref="K98:K114" si="10">K58</f>
        <v>1550</v>
      </c>
      <c r="L98" s="138"/>
      <c r="M98" s="139" t="str">
        <f t="shared" si="7"/>
        <v>SW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315866-5832</v>
      </c>
      <c r="C99" s="136"/>
      <c r="D99" s="136"/>
      <c r="E99" s="136"/>
      <c r="F99" s="136"/>
      <c r="G99" s="136"/>
      <c r="H99" s="137">
        <f t="shared" si="9"/>
        <v>3</v>
      </c>
      <c r="I99" s="137"/>
      <c r="J99" s="137"/>
      <c r="K99" s="138">
        <f t="shared" si="10"/>
        <v>143</v>
      </c>
      <c r="L99" s="138"/>
      <c r="M99" s="139" t="str">
        <f t="shared" si="7"/>
        <v>SW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316252-5832</v>
      </c>
      <c r="C100" s="136"/>
      <c r="D100" s="136"/>
      <c r="E100" s="136"/>
      <c r="F100" s="136"/>
      <c r="G100" s="136"/>
      <c r="H100" s="137">
        <f t="shared" si="9"/>
        <v>8</v>
      </c>
      <c r="I100" s="137"/>
      <c r="J100" s="137"/>
      <c r="K100" s="138">
        <f t="shared" si="10"/>
        <v>550</v>
      </c>
      <c r="L100" s="138"/>
      <c r="M100" s="139" t="str">
        <f t="shared" si="7"/>
        <v>SE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317453-5832</v>
      </c>
      <c r="C101" s="136"/>
      <c r="D101" s="136"/>
      <c r="E101" s="136"/>
      <c r="F101" s="136"/>
      <c r="G101" s="136"/>
      <c r="H101" s="137">
        <f t="shared" si="9"/>
        <v>11</v>
      </c>
      <c r="I101" s="137"/>
      <c r="J101" s="137"/>
      <c r="K101" s="138">
        <f t="shared" si="10"/>
        <v>921</v>
      </c>
      <c r="L101" s="138"/>
      <c r="M101" s="139" t="str">
        <f t="shared" si="7"/>
        <v>SW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 t="str">
        <f t="shared" si="6"/>
        <v>328562-7952</v>
      </c>
      <c r="C102" s="136"/>
      <c r="D102" s="136"/>
      <c r="E102" s="136"/>
      <c r="F102" s="136"/>
      <c r="G102" s="136"/>
      <c r="H102" s="137">
        <f t="shared" si="9"/>
        <v>15</v>
      </c>
      <c r="I102" s="137"/>
      <c r="J102" s="137"/>
      <c r="K102" s="138">
        <f t="shared" si="10"/>
        <v>800</v>
      </c>
      <c r="L102" s="138"/>
      <c r="M102" s="139" t="str">
        <f t="shared" si="7"/>
        <v>SW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 t="str">
        <f t="shared" si="6"/>
        <v>298564-7272</v>
      </c>
      <c r="C103" s="136"/>
      <c r="D103" s="136"/>
      <c r="E103" s="136"/>
      <c r="F103" s="136"/>
      <c r="G103" s="136"/>
      <c r="H103" s="137">
        <f t="shared" si="9"/>
        <v>8</v>
      </c>
      <c r="I103" s="137"/>
      <c r="J103" s="137"/>
      <c r="K103" s="138">
        <f t="shared" si="10"/>
        <v>556</v>
      </c>
      <c r="L103" s="138"/>
      <c r="M103" s="139" t="str">
        <f t="shared" si="7"/>
        <v>KR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 t="str">
        <f t="shared" si="6"/>
        <v>321334-5828</v>
      </c>
      <c r="C104" s="136"/>
      <c r="D104" s="136"/>
      <c r="E104" s="136"/>
      <c r="F104" s="136"/>
      <c r="G104" s="136"/>
      <c r="H104" s="137">
        <f t="shared" si="9"/>
        <v>7</v>
      </c>
      <c r="I104" s="137"/>
      <c r="J104" s="137"/>
      <c r="K104" s="138">
        <f t="shared" si="10"/>
        <v>318</v>
      </c>
      <c r="L104" s="138"/>
      <c r="M104" s="139" t="str">
        <f t="shared" si="7"/>
        <v>SW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 t="str">
        <f t="shared" si="6"/>
        <v>308831-5828</v>
      </c>
      <c r="C105" s="136"/>
      <c r="D105" s="136"/>
      <c r="E105" s="136"/>
      <c r="F105" s="136"/>
      <c r="G105" s="136"/>
      <c r="H105" s="137">
        <f t="shared" si="9"/>
        <v>1</v>
      </c>
      <c r="I105" s="137"/>
      <c r="J105" s="137"/>
      <c r="K105" s="138">
        <f t="shared" si="10"/>
        <v>21</v>
      </c>
      <c r="L105" s="138"/>
      <c r="M105" s="139" t="str">
        <f t="shared" si="7"/>
        <v>OD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 t="str">
        <f t="shared" si="6"/>
        <v>327483-7952</v>
      </c>
      <c r="C106" s="136"/>
      <c r="D106" s="136"/>
      <c r="E106" s="136"/>
      <c r="F106" s="136"/>
      <c r="G106" s="136"/>
      <c r="H106" s="137">
        <f t="shared" si="9"/>
        <v>6</v>
      </c>
      <c r="I106" s="137"/>
      <c r="J106" s="137"/>
      <c r="K106" s="138">
        <f t="shared" si="10"/>
        <v>314</v>
      </c>
      <c r="L106" s="138"/>
      <c r="M106" s="139" t="str">
        <f t="shared" si="7"/>
        <v>SW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 t="str">
        <f t="shared" si="6"/>
        <v>302669-5832</v>
      </c>
      <c r="C107" s="136"/>
      <c r="D107" s="136"/>
      <c r="E107" s="136"/>
      <c r="F107" s="136"/>
      <c r="G107" s="136"/>
      <c r="H107" s="137">
        <f t="shared" si="9"/>
        <v>2</v>
      </c>
      <c r="I107" s="137"/>
      <c r="J107" s="137"/>
      <c r="K107" s="138">
        <f t="shared" si="10"/>
        <v>57</v>
      </c>
      <c r="L107" s="138"/>
      <c r="M107" s="139" t="str">
        <f t="shared" si="7"/>
        <v>OK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 t="str">
        <f t="shared" si="6"/>
        <v>304166-7272</v>
      </c>
      <c r="C108" s="136"/>
      <c r="D108" s="136"/>
      <c r="E108" s="136"/>
      <c r="F108" s="136"/>
      <c r="G108" s="136"/>
      <c r="H108" s="137">
        <f t="shared" si="9"/>
        <v>2</v>
      </c>
      <c r="I108" s="137"/>
      <c r="J108" s="137"/>
      <c r="K108" s="138">
        <f t="shared" si="10"/>
        <v>84</v>
      </c>
      <c r="L108" s="138"/>
      <c r="M108" s="139" t="str">
        <f t="shared" si="7"/>
        <v>OK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 t="str">
        <f t="shared" si="6"/>
        <v>311047-5828</v>
      </c>
      <c r="C109" s="136"/>
      <c r="D109" s="136"/>
      <c r="E109" s="136"/>
      <c r="F109" s="136"/>
      <c r="G109" s="136"/>
      <c r="H109" s="137">
        <f t="shared" si="9"/>
        <v>3</v>
      </c>
      <c r="I109" s="137"/>
      <c r="J109" s="137"/>
      <c r="K109" s="138">
        <f t="shared" si="10"/>
        <v>136</v>
      </c>
      <c r="L109" s="138"/>
      <c r="M109" s="139" t="str">
        <f t="shared" si="7"/>
        <v>SW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 t="str">
        <f t="shared" si="6"/>
        <v>323654-5832</v>
      </c>
      <c r="C110" s="136"/>
      <c r="D110" s="136"/>
      <c r="E110" s="136"/>
      <c r="F110" s="136"/>
      <c r="G110" s="136"/>
      <c r="H110" s="137">
        <f t="shared" si="9"/>
        <v>1</v>
      </c>
      <c r="I110" s="137"/>
      <c r="J110" s="137"/>
      <c r="K110" s="138">
        <f t="shared" si="10"/>
        <v>18</v>
      </c>
      <c r="L110" s="138"/>
      <c r="M110" s="139" t="str">
        <f t="shared" si="7"/>
        <v>OD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 t="str">
        <f t="shared" si="6"/>
        <v>318423-5832</v>
      </c>
      <c r="C111" s="136"/>
      <c r="D111" s="136"/>
      <c r="E111" s="136"/>
      <c r="F111" s="136"/>
      <c r="G111" s="136"/>
      <c r="H111" s="137">
        <f t="shared" si="9"/>
        <v>2</v>
      </c>
      <c r="I111" s="137"/>
      <c r="J111" s="137"/>
      <c r="K111" s="138">
        <f t="shared" si="10"/>
        <v>123</v>
      </c>
      <c r="L111" s="138"/>
      <c r="M111" s="139" t="str">
        <f t="shared" si="7"/>
        <v>RS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 t="str">
        <f t="shared" si="6"/>
        <v>306972-5828</v>
      </c>
      <c r="C112" s="136"/>
      <c r="D112" s="136"/>
      <c r="E112" s="136"/>
      <c r="F112" s="136"/>
      <c r="G112" s="136"/>
      <c r="H112" s="137">
        <f t="shared" si="9"/>
        <v>8</v>
      </c>
      <c r="I112" s="137"/>
      <c r="J112" s="137"/>
      <c r="K112" s="138">
        <f t="shared" si="10"/>
        <v>568</v>
      </c>
      <c r="L112" s="138"/>
      <c r="M112" s="139" t="str">
        <f t="shared" si="7"/>
        <v>CO,HR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 t="str">
        <f t="shared" si="11"/>
        <v>319437-5832</v>
      </c>
      <c r="C113" s="136"/>
      <c r="D113" s="136"/>
      <c r="E113" s="136"/>
      <c r="F113" s="136"/>
      <c r="G113" s="136"/>
      <c r="H113" s="137">
        <f t="shared" si="9"/>
        <v>2</v>
      </c>
      <c r="I113" s="137"/>
      <c r="J113" s="137"/>
      <c r="K113" s="138">
        <f t="shared" si="10"/>
        <v>92</v>
      </c>
      <c r="L113" s="138"/>
      <c r="M113" s="139" t="str">
        <f t="shared" si="7"/>
        <v>OD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 t="str">
        <f t="shared" si="11"/>
        <v>283583-5832</v>
      </c>
      <c r="C114" s="136"/>
      <c r="D114" s="136"/>
      <c r="E114" s="136"/>
      <c r="F114" s="136"/>
      <c r="G114" s="136"/>
      <c r="H114" s="137">
        <f t="shared" si="9"/>
        <v>1</v>
      </c>
      <c r="I114" s="137"/>
      <c r="J114" s="137"/>
      <c r="K114" s="138">
        <f t="shared" si="10"/>
        <v>13</v>
      </c>
      <c r="L114" s="138"/>
      <c r="M114" s="139" t="str">
        <f t="shared" si="7"/>
        <v>OK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102</v>
      </c>
      <c r="I115" s="156"/>
      <c r="J115" s="157"/>
      <c r="K115" s="158">
        <f>SUM(K95:L114)</f>
        <v>6482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MD.SHOMON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01601-541715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OO28551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C.M.TA 11-7555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6"/>
      <c r="I120" s="6"/>
      <c r="J120" s="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O522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523768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Esack Brothers Industries Ltd.
Middle Halishahar, Bandar
Chattogram,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1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323690-5832</v>
      </c>
      <c r="C135" s="146"/>
      <c r="D135" s="146"/>
      <c r="E135" s="146"/>
      <c r="F135" s="146"/>
      <c r="G135" s="146"/>
      <c r="H135" s="187">
        <f>H95</f>
        <v>1</v>
      </c>
      <c r="I135" s="188"/>
      <c r="J135" s="189"/>
      <c r="K135" s="190">
        <f>K95</f>
        <v>41</v>
      </c>
      <c r="L135" s="191"/>
      <c r="M135" s="133" t="str">
        <f>M95</f>
        <v>OD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323673-5832</v>
      </c>
      <c r="C136" s="136"/>
      <c r="D136" s="136"/>
      <c r="E136" s="136"/>
      <c r="F136" s="136"/>
      <c r="G136" s="136"/>
      <c r="H136" s="179">
        <f>H96</f>
        <v>1</v>
      </c>
      <c r="I136" s="180"/>
      <c r="J136" s="181"/>
      <c r="K136" s="182">
        <f>K96</f>
        <v>45</v>
      </c>
      <c r="L136" s="183"/>
      <c r="M136" s="184" t="str">
        <f>M96</f>
        <v>OD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308610-5828</v>
      </c>
      <c r="C137" s="136"/>
      <c r="D137" s="136"/>
      <c r="E137" s="136"/>
      <c r="F137" s="136"/>
      <c r="G137" s="136"/>
      <c r="H137" s="179">
        <f>H97</f>
        <v>3</v>
      </c>
      <c r="I137" s="180"/>
      <c r="J137" s="181"/>
      <c r="K137" s="182">
        <f>K97</f>
        <v>132</v>
      </c>
      <c r="L137" s="183"/>
      <c r="M137" s="184" t="str">
        <f t="shared" ref="M137:M154" si="13">M97</f>
        <v>CO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323236-5832</v>
      </c>
      <c r="C138" s="136"/>
      <c r="D138" s="136"/>
      <c r="E138" s="136"/>
      <c r="F138" s="136"/>
      <c r="G138" s="136"/>
      <c r="H138" s="179">
        <f t="shared" ref="H138:H154" si="15">H98</f>
        <v>17</v>
      </c>
      <c r="I138" s="180"/>
      <c r="J138" s="181"/>
      <c r="K138" s="182">
        <f t="shared" ref="K138:K154" si="16">K98</f>
        <v>1550</v>
      </c>
      <c r="L138" s="183"/>
      <c r="M138" s="184" t="str">
        <f t="shared" si="13"/>
        <v>SW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315866-5832</v>
      </c>
      <c r="C139" s="136"/>
      <c r="D139" s="136"/>
      <c r="E139" s="136"/>
      <c r="F139" s="136"/>
      <c r="G139" s="136"/>
      <c r="H139" s="179">
        <f t="shared" si="15"/>
        <v>3</v>
      </c>
      <c r="I139" s="180"/>
      <c r="J139" s="181"/>
      <c r="K139" s="182">
        <f t="shared" si="16"/>
        <v>143</v>
      </c>
      <c r="L139" s="183"/>
      <c r="M139" s="184" t="str">
        <f t="shared" si="13"/>
        <v>SW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316252-5832</v>
      </c>
      <c r="C140" s="136"/>
      <c r="D140" s="136"/>
      <c r="E140" s="136"/>
      <c r="F140" s="136"/>
      <c r="G140" s="136"/>
      <c r="H140" s="179">
        <f t="shared" si="15"/>
        <v>8</v>
      </c>
      <c r="I140" s="180"/>
      <c r="J140" s="181"/>
      <c r="K140" s="182">
        <f t="shared" si="16"/>
        <v>550</v>
      </c>
      <c r="L140" s="183"/>
      <c r="M140" s="184" t="str">
        <f t="shared" si="13"/>
        <v>SE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317453-5832</v>
      </c>
      <c r="C141" s="136"/>
      <c r="D141" s="136"/>
      <c r="E141" s="136"/>
      <c r="F141" s="136"/>
      <c r="G141" s="136"/>
      <c r="H141" s="179">
        <f t="shared" si="15"/>
        <v>11</v>
      </c>
      <c r="I141" s="180"/>
      <c r="J141" s="181"/>
      <c r="K141" s="182">
        <f t="shared" si="16"/>
        <v>921</v>
      </c>
      <c r="L141" s="183"/>
      <c r="M141" s="184" t="str">
        <f t="shared" si="13"/>
        <v>SW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 t="str">
        <f t="shared" si="12"/>
        <v>328562-7952</v>
      </c>
      <c r="C142" s="136"/>
      <c r="D142" s="136"/>
      <c r="E142" s="136"/>
      <c r="F142" s="136"/>
      <c r="G142" s="136"/>
      <c r="H142" s="179">
        <f t="shared" si="15"/>
        <v>15</v>
      </c>
      <c r="I142" s="180"/>
      <c r="J142" s="181"/>
      <c r="K142" s="182">
        <f t="shared" si="16"/>
        <v>800</v>
      </c>
      <c r="L142" s="183"/>
      <c r="M142" s="184" t="str">
        <f t="shared" si="13"/>
        <v>SW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 t="str">
        <f t="shared" si="12"/>
        <v>298564-7272</v>
      </c>
      <c r="C143" s="136"/>
      <c r="D143" s="136"/>
      <c r="E143" s="136"/>
      <c r="F143" s="136"/>
      <c r="G143" s="136"/>
      <c r="H143" s="179">
        <f t="shared" si="15"/>
        <v>8</v>
      </c>
      <c r="I143" s="180"/>
      <c r="J143" s="181"/>
      <c r="K143" s="182">
        <f t="shared" si="16"/>
        <v>556</v>
      </c>
      <c r="L143" s="183"/>
      <c r="M143" s="184" t="str">
        <f t="shared" si="13"/>
        <v>KR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 t="str">
        <f t="shared" si="12"/>
        <v>321334-5828</v>
      </c>
      <c r="C144" s="136"/>
      <c r="D144" s="136"/>
      <c r="E144" s="136"/>
      <c r="F144" s="136"/>
      <c r="G144" s="136"/>
      <c r="H144" s="179">
        <f t="shared" si="15"/>
        <v>7</v>
      </c>
      <c r="I144" s="180"/>
      <c r="J144" s="181"/>
      <c r="K144" s="182">
        <f t="shared" si="16"/>
        <v>318</v>
      </c>
      <c r="L144" s="183"/>
      <c r="M144" s="184" t="str">
        <f t="shared" si="13"/>
        <v>SW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 t="str">
        <f t="shared" si="12"/>
        <v>308831-5828</v>
      </c>
      <c r="C145" s="136"/>
      <c r="D145" s="136"/>
      <c r="E145" s="136"/>
      <c r="F145" s="136"/>
      <c r="G145" s="136"/>
      <c r="H145" s="179">
        <f t="shared" si="15"/>
        <v>1</v>
      </c>
      <c r="I145" s="180"/>
      <c r="J145" s="181"/>
      <c r="K145" s="182">
        <f t="shared" si="16"/>
        <v>21</v>
      </c>
      <c r="L145" s="183"/>
      <c r="M145" s="184" t="str">
        <f t="shared" si="13"/>
        <v>OD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 t="str">
        <f t="shared" si="12"/>
        <v>327483-7952</v>
      </c>
      <c r="C146" s="136"/>
      <c r="D146" s="136"/>
      <c r="E146" s="136"/>
      <c r="F146" s="136"/>
      <c r="G146" s="136"/>
      <c r="H146" s="179">
        <f t="shared" si="15"/>
        <v>6</v>
      </c>
      <c r="I146" s="180"/>
      <c r="J146" s="181"/>
      <c r="K146" s="182">
        <f t="shared" si="16"/>
        <v>314</v>
      </c>
      <c r="L146" s="183"/>
      <c r="M146" s="184" t="str">
        <f t="shared" si="13"/>
        <v>SW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 t="str">
        <f t="shared" si="12"/>
        <v>302669-5832</v>
      </c>
      <c r="C147" s="136"/>
      <c r="D147" s="136"/>
      <c r="E147" s="136"/>
      <c r="F147" s="136"/>
      <c r="G147" s="136"/>
      <c r="H147" s="179">
        <f t="shared" si="15"/>
        <v>2</v>
      </c>
      <c r="I147" s="180"/>
      <c r="J147" s="181"/>
      <c r="K147" s="182">
        <f t="shared" si="16"/>
        <v>57</v>
      </c>
      <c r="L147" s="183"/>
      <c r="M147" s="184" t="str">
        <f t="shared" si="13"/>
        <v>OK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 t="str">
        <f t="shared" si="12"/>
        <v>304166-7272</v>
      </c>
      <c r="C148" s="136"/>
      <c r="D148" s="136"/>
      <c r="E148" s="136"/>
      <c r="F148" s="136"/>
      <c r="G148" s="136"/>
      <c r="H148" s="179">
        <f t="shared" si="15"/>
        <v>2</v>
      </c>
      <c r="I148" s="180"/>
      <c r="J148" s="181"/>
      <c r="K148" s="182">
        <f t="shared" si="16"/>
        <v>84</v>
      </c>
      <c r="L148" s="183"/>
      <c r="M148" s="184" t="str">
        <f t="shared" si="13"/>
        <v>OK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 t="str">
        <f t="shared" si="12"/>
        <v>311047-5828</v>
      </c>
      <c r="C149" s="136"/>
      <c r="D149" s="136"/>
      <c r="E149" s="136"/>
      <c r="F149" s="136"/>
      <c r="G149" s="136"/>
      <c r="H149" s="179">
        <f t="shared" si="15"/>
        <v>3</v>
      </c>
      <c r="I149" s="180"/>
      <c r="J149" s="181"/>
      <c r="K149" s="182">
        <f t="shared" si="16"/>
        <v>136</v>
      </c>
      <c r="L149" s="183"/>
      <c r="M149" s="184" t="str">
        <f t="shared" si="13"/>
        <v>SW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 t="str">
        <f t="shared" si="12"/>
        <v>323654-5832</v>
      </c>
      <c r="C150" s="136"/>
      <c r="D150" s="136"/>
      <c r="E150" s="136"/>
      <c r="F150" s="136"/>
      <c r="G150" s="136"/>
      <c r="H150" s="179">
        <f t="shared" si="15"/>
        <v>1</v>
      </c>
      <c r="I150" s="180"/>
      <c r="J150" s="181"/>
      <c r="K150" s="182">
        <f t="shared" si="16"/>
        <v>18</v>
      </c>
      <c r="L150" s="183"/>
      <c r="M150" s="184" t="str">
        <f t="shared" si="13"/>
        <v>OD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 t="str">
        <f t="shared" si="12"/>
        <v>318423-5832</v>
      </c>
      <c r="C151" s="136"/>
      <c r="D151" s="136"/>
      <c r="E151" s="136"/>
      <c r="F151" s="136"/>
      <c r="G151" s="136"/>
      <c r="H151" s="179">
        <f t="shared" si="15"/>
        <v>2</v>
      </c>
      <c r="I151" s="180"/>
      <c r="J151" s="181"/>
      <c r="K151" s="182">
        <f t="shared" si="16"/>
        <v>123</v>
      </c>
      <c r="L151" s="183"/>
      <c r="M151" s="184" t="str">
        <f t="shared" si="13"/>
        <v>RS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 t="str">
        <f t="shared" si="12"/>
        <v>306972-5828</v>
      </c>
      <c r="C152" s="136"/>
      <c r="D152" s="136"/>
      <c r="E152" s="136"/>
      <c r="F152" s="136"/>
      <c r="G152" s="136"/>
      <c r="H152" s="179">
        <f t="shared" si="15"/>
        <v>8</v>
      </c>
      <c r="I152" s="180"/>
      <c r="J152" s="181"/>
      <c r="K152" s="182">
        <f t="shared" si="16"/>
        <v>568</v>
      </c>
      <c r="L152" s="183"/>
      <c r="M152" s="184" t="str">
        <f t="shared" si="13"/>
        <v>CO,HR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 t="str">
        <f t="shared" si="17"/>
        <v>319437-5832</v>
      </c>
      <c r="C153" s="136"/>
      <c r="D153" s="136"/>
      <c r="E153" s="136"/>
      <c r="F153" s="136"/>
      <c r="G153" s="136"/>
      <c r="H153" s="179">
        <f t="shared" si="15"/>
        <v>2</v>
      </c>
      <c r="I153" s="180"/>
      <c r="J153" s="181"/>
      <c r="K153" s="182">
        <f t="shared" si="16"/>
        <v>92</v>
      </c>
      <c r="L153" s="183"/>
      <c r="M153" s="184" t="str">
        <f t="shared" si="13"/>
        <v>OD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 t="str">
        <f t="shared" si="17"/>
        <v>283583-5832</v>
      </c>
      <c r="C154" s="136"/>
      <c r="D154" s="136"/>
      <c r="E154" s="136"/>
      <c r="F154" s="136"/>
      <c r="G154" s="136"/>
      <c r="H154" s="179">
        <f t="shared" si="15"/>
        <v>1</v>
      </c>
      <c r="I154" s="180"/>
      <c r="J154" s="181"/>
      <c r="K154" s="182">
        <f t="shared" si="16"/>
        <v>13</v>
      </c>
      <c r="L154" s="183"/>
      <c r="M154" s="184" t="str">
        <f t="shared" si="13"/>
        <v>OK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102</v>
      </c>
      <c r="I155" s="195"/>
      <c r="J155" s="196"/>
      <c r="K155" s="158">
        <f>SUM(K135:L154)</f>
        <v>6482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MD.SHOMON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01601-541715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OO28551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C.M.TA 11-7555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6"/>
      <c r="I160" s="6"/>
      <c r="J160" s="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27:G27"/>
    <mergeCell ref="H27:J27"/>
    <mergeCell ref="K27:L27"/>
    <mergeCell ref="M27:O27"/>
    <mergeCell ref="B26:G26"/>
    <mergeCell ref="H26:J26"/>
    <mergeCell ref="K26:L26"/>
    <mergeCell ref="M26:O26"/>
    <mergeCell ref="B24:G24"/>
    <mergeCell ref="H24:J24"/>
    <mergeCell ref="K24:L24"/>
    <mergeCell ref="M24:O24"/>
    <mergeCell ref="B25:G25"/>
    <mergeCell ref="H25:J25"/>
    <mergeCell ref="K25:L25"/>
    <mergeCell ref="M25:O25"/>
    <mergeCell ref="B23:G23"/>
    <mergeCell ref="H23:J23"/>
    <mergeCell ref="K23:L23"/>
    <mergeCell ref="M23:O23"/>
    <mergeCell ref="K21:L21"/>
    <mergeCell ref="M21:O21"/>
    <mergeCell ref="B22:G22"/>
    <mergeCell ref="H22:J22"/>
    <mergeCell ref="K22:L22"/>
    <mergeCell ref="M22:O22"/>
    <mergeCell ref="V19:V21"/>
    <mergeCell ref="B20:G20"/>
    <mergeCell ref="H20:J20"/>
    <mergeCell ref="K20:L20"/>
    <mergeCell ref="M20:O20"/>
    <mergeCell ref="B21:G21"/>
    <mergeCell ref="H21:J21"/>
    <mergeCell ref="K18:L18"/>
    <mergeCell ref="M18:O18"/>
    <mergeCell ref="B19:G19"/>
    <mergeCell ref="H19:J19"/>
    <mergeCell ref="K19:L19"/>
    <mergeCell ref="M19:O19"/>
    <mergeCell ref="V16:V18"/>
    <mergeCell ref="B17:G17"/>
    <mergeCell ref="H17:J17"/>
    <mergeCell ref="K17:L17"/>
    <mergeCell ref="M17:O17"/>
    <mergeCell ref="B18:G18"/>
    <mergeCell ref="H18:J18"/>
    <mergeCell ref="M15:O15"/>
    <mergeCell ref="B16:G16"/>
    <mergeCell ref="H16:J16"/>
    <mergeCell ref="K16:L16"/>
    <mergeCell ref="M16:O16"/>
    <mergeCell ref="V13:V15"/>
    <mergeCell ref="A14:B14"/>
    <mergeCell ref="C14:D14"/>
    <mergeCell ref="E14:G14"/>
    <mergeCell ref="B15:G15"/>
    <mergeCell ref="H15:J15"/>
    <mergeCell ref="K15:L15"/>
    <mergeCell ref="H12:L12"/>
    <mergeCell ref="M12:O14"/>
    <mergeCell ref="P12:P14"/>
    <mergeCell ref="C13:G13"/>
    <mergeCell ref="H13:J14"/>
    <mergeCell ref="K13:L14"/>
    <mergeCell ref="V10:V12"/>
    <mergeCell ref="A11:B11"/>
    <mergeCell ref="A12:B12"/>
    <mergeCell ref="C12:G12"/>
    <mergeCell ref="A2:C3"/>
    <mergeCell ref="D2:L3"/>
    <mergeCell ref="M2:P3"/>
    <mergeCell ref="A4:C4"/>
    <mergeCell ref="D4:L4"/>
    <mergeCell ref="A5:B5"/>
    <mergeCell ref="D5:L5"/>
    <mergeCell ref="N5:P5"/>
    <mergeCell ref="V7:V9"/>
    <mergeCell ref="A8:F10"/>
    <mergeCell ref="H8:J8"/>
    <mergeCell ref="L8:P8"/>
    <mergeCell ref="H9:J11"/>
    <mergeCell ref="K9:K11"/>
    <mergeCell ref="L9:P11"/>
    <mergeCell ref="A6:B6"/>
    <mergeCell ref="C6:F6"/>
    <mergeCell ref="H6:J6"/>
    <mergeCell ref="L6:P6"/>
    <mergeCell ref="H7:J7"/>
    <mergeCell ref="L7:P7"/>
  </mergeCells>
  <dataValidations count="4">
    <dataValidation type="list" allowBlank="1" showInputMessage="1" showErrorMessage="1" sqref="L8:P8 L48:P48 L88:P88 L128:P128" xr:uid="{9AC3E45F-FE30-4795-97D3-46565E6216F1}">
      <formula1>Mode</formula1>
    </dataValidation>
    <dataValidation type="list" allowBlank="1" showInputMessage="1" showErrorMessage="1" sqref="A8 A48 A88 A128" xr:uid="{1079E806-53B2-4EAF-9226-D0ADC5F19E3D}">
      <formula1>$T$7:$T$35</formula1>
    </dataValidation>
    <dataValidation type="list" allowBlank="1" showInputMessage="1" showErrorMessage="1" sqref="L9:P11 L49:P51 L89:P91 L129:P131" xr:uid="{0A538AA2-F6FB-444E-A4D0-16E770F7409E}">
      <formula1>Carrier</formula1>
    </dataValidation>
    <dataValidation type="list" allowBlank="1" showInputMessage="1" showErrorMessage="1" sqref="C14:D14 C94:D94 C54:D54 C134:D134" xr:uid="{CBB4AD17-0BB1-406D-9C1B-676C293EE95C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F0BD-AF19-4AB7-B00A-454E53DF0D63}">
  <sheetPr>
    <tabColor rgb="FF00B050"/>
  </sheetPr>
  <dimension ref="A1:Y168"/>
  <sheetViews>
    <sheetView view="pageBreakPreview" topLeftCell="A25" zoomScaleNormal="100" zoomScaleSheetLayoutView="100" workbookViewId="0">
      <selection activeCell="AA34" sqref="AA34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175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280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112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142</v>
      </c>
      <c r="C15" s="146"/>
      <c r="D15" s="146"/>
      <c r="E15" s="146"/>
      <c r="F15" s="146"/>
      <c r="G15" s="146"/>
      <c r="H15" s="147">
        <v>9</v>
      </c>
      <c r="I15" s="148"/>
      <c r="J15" s="149"/>
      <c r="K15" s="150">
        <v>756</v>
      </c>
      <c r="L15" s="151"/>
      <c r="M15" s="133" t="s">
        <v>137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143</v>
      </c>
      <c r="C16" s="136"/>
      <c r="D16" s="136"/>
      <c r="E16" s="136"/>
      <c r="F16" s="136"/>
      <c r="G16" s="136"/>
      <c r="H16" s="137">
        <v>3</v>
      </c>
      <c r="I16" s="137"/>
      <c r="J16" s="137"/>
      <c r="K16" s="138">
        <v>94</v>
      </c>
      <c r="L16" s="138"/>
      <c r="M16" s="139" t="s">
        <v>127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144</v>
      </c>
      <c r="C17" s="136"/>
      <c r="D17" s="136"/>
      <c r="E17" s="136"/>
      <c r="F17" s="136"/>
      <c r="G17" s="136"/>
      <c r="H17" s="137">
        <v>3</v>
      </c>
      <c r="I17" s="137"/>
      <c r="J17" s="137"/>
      <c r="K17" s="138">
        <v>130</v>
      </c>
      <c r="L17" s="138"/>
      <c r="M17" s="139" t="s">
        <v>116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145</v>
      </c>
      <c r="C18" s="136"/>
      <c r="D18" s="136"/>
      <c r="E18" s="136"/>
      <c r="F18" s="136"/>
      <c r="G18" s="136"/>
      <c r="H18" s="137">
        <v>2</v>
      </c>
      <c r="I18" s="137"/>
      <c r="J18" s="137"/>
      <c r="K18" s="138">
        <v>80</v>
      </c>
      <c r="L18" s="138"/>
      <c r="M18" s="139" t="s">
        <v>116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146</v>
      </c>
      <c r="C19" s="136"/>
      <c r="D19" s="136"/>
      <c r="E19" s="136"/>
      <c r="F19" s="136"/>
      <c r="G19" s="136"/>
      <c r="H19" s="137">
        <v>1</v>
      </c>
      <c r="I19" s="137"/>
      <c r="J19" s="137"/>
      <c r="K19" s="138">
        <v>50</v>
      </c>
      <c r="L19" s="138"/>
      <c r="M19" s="139" t="s">
        <v>132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147</v>
      </c>
      <c r="C20" s="136"/>
      <c r="D20" s="136"/>
      <c r="E20" s="136"/>
      <c r="F20" s="136"/>
      <c r="G20" s="136"/>
      <c r="H20" s="137">
        <v>112</v>
      </c>
      <c r="I20" s="137"/>
      <c r="J20" s="137"/>
      <c r="K20" s="138">
        <v>11382</v>
      </c>
      <c r="L20" s="138"/>
      <c r="M20" s="152" t="s">
        <v>148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149</v>
      </c>
      <c r="C21" s="136"/>
      <c r="D21" s="136"/>
      <c r="E21" s="136"/>
      <c r="F21" s="136"/>
      <c r="G21" s="136"/>
      <c r="H21" s="137">
        <v>18</v>
      </c>
      <c r="I21" s="137"/>
      <c r="J21" s="137"/>
      <c r="K21" s="138">
        <v>1525</v>
      </c>
      <c r="L21" s="138"/>
      <c r="M21" s="139" t="s">
        <v>148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 t="s">
        <v>150</v>
      </c>
      <c r="C22" s="136"/>
      <c r="D22" s="136"/>
      <c r="E22" s="136"/>
      <c r="F22" s="136"/>
      <c r="G22" s="136"/>
      <c r="H22" s="137">
        <v>4</v>
      </c>
      <c r="I22" s="137"/>
      <c r="J22" s="137"/>
      <c r="K22" s="138">
        <v>341</v>
      </c>
      <c r="L22" s="138"/>
      <c r="M22" s="139" t="s">
        <v>151</v>
      </c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 t="s">
        <v>152</v>
      </c>
      <c r="C23" s="136"/>
      <c r="D23" s="136"/>
      <c r="E23" s="136"/>
      <c r="F23" s="136"/>
      <c r="G23" s="136"/>
      <c r="H23" s="137">
        <v>1</v>
      </c>
      <c r="I23" s="137"/>
      <c r="J23" s="137"/>
      <c r="K23" s="138">
        <v>16</v>
      </c>
      <c r="L23" s="138"/>
      <c r="M23" s="139" t="s">
        <v>137</v>
      </c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 t="s">
        <v>153</v>
      </c>
      <c r="C24" s="136"/>
      <c r="D24" s="136"/>
      <c r="E24" s="136"/>
      <c r="F24" s="136"/>
      <c r="G24" s="136"/>
      <c r="H24" s="137">
        <v>40</v>
      </c>
      <c r="I24" s="137"/>
      <c r="J24" s="137"/>
      <c r="K24" s="138">
        <v>979</v>
      </c>
      <c r="L24" s="138"/>
      <c r="M24" s="139" t="s">
        <v>154</v>
      </c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 t="s">
        <v>155</v>
      </c>
      <c r="C25" s="136"/>
      <c r="D25" s="136"/>
      <c r="E25" s="136"/>
      <c r="F25" s="136"/>
      <c r="G25" s="136"/>
      <c r="H25" s="137">
        <v>10</v>
      </c>
      <c r="I25" s="137"/>
      <c r="J25" s="137"/>
      <c r="K25" s="138">
        <v>682</v>
      </c>
      <c r="L25" s="138"/>
      <c r="M25" s="139" t="s">
        <v>121</v>
      </c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 t="s">
        <v>156</v>
      </c>
      <c r="C26" s="136"/>
      <c r="D26" s="136"/>
      <c r="E26" s="136"/>
      <c r="F26" s="136"/>
      <c r="G26" s="136"/>
      <c r="H26" s="137">
        <v>1</v>
      </c>
      <c r="I26" s="137"/>
      <c r="J26" s="137"/>
      <c r="K26" s="138">
        <v>71</v>
      </c>
      <c r="L26" s="138"/>
      <c r="M26" s="139" t="s">
        <v>121</v>
      </c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204</v>
      </c>
      <c r="I35" s="156"/>
      <c r="J35" s="157"/>
      <c r="K35" s="158">
        <f>SUM(K15:L34)</f>
        <v>16106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284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282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283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281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O523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523768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Esack Brothers Industries Ltd.
Middle Halishahar, Bandar
Chattogram,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318457-5832</v>
      </c>
      <c r="C55" s="146"/>
      <c r="D55" s="146"/>
      <c r="E55" s="146"/>
      <c r="F55" s="146"/>
      <c r="G55" s="146"/>
      <c r="H55" s="147">
        <f>H15</f>
        <v>9</v>
      </c>
      <c r="I55" s="148"/>
      <c r="J55" s="149"/>
      <c r="K55" s="150">
        <f>K15</f>
        <v>756</v>
      </c>
      <c r="L55" s="151"/>
      <c r="M55" s="133" t="str">
        <f>M15</f>
        <v>RS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285477-5832</v>
      </c>
      <c r="C56" s="136"/>
      <c r="D56" s="136"/>
      <c r="E56" s="136"/>
      <c r="F56" s="136"/>
      <c r="G56" s="136"/>
      <c r="H56" s="137">
        <f>H16</f>
        <v>3</v>
      </c>
      <c r="I56" s="137"/>
      <c r="J56" s="137"/>
      <c r="K56" s="138">
        <f>K16</f>
        <v>94</v>
      </c>
      <c r="L56" s="138"/>
      <c r="M56" s="139" t="str">
        <f t="shared" ref="M56:M74" si="0">M16</f>
        <v>KR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318242-5832</v>
      </c>
      <c r="C57" s="136"/>
      <c r="D57" s="136"/>
      <c r="E57" s="136"/>
      <c r="F57" s="136"/>
      <c r="G57" s="136"/>
      <c r="H57" s="137">
        <f>H17</f>
        <v>3</v>
      </c>
      <c r="I57" s="137"/>
      <c r="J57" s="137"/>
      <c r="K57" s="138">
        <f>K17</f>
        <v>130</v>
      </c>
      <c r="L57" s="138"/>
      <c r="M57" s="139" t="str">
        <f t="shared" si="0"/>
        <v>OD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309764-7952</v>
      </c>
      <c r="C58" s="136"/>
      <c r="D58" s="136"/>
      <c r="E58" s="136"/>
      <c r="F58" s="136"/>
      <c r="G58" s="136"/>
      <c r="H58" s="137">
        <f t="shared" ref="H58:H74" si="3">H18</f>
        <v>2</v>
      </c>
      <c r="I58" s="137"/>
      <c r="J58" s="137"/>
      <c r="K58" s="138">
        <f t="shared" ref="K58:K74" si="4">K18</f>
        <v>80</v>
      </c>
      <c r="L58" s="138"/>
      <c r="M58" s="139" t="str">
        <f t="shared" si="0"/>
        <v>OD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307361-5832</v>
      </c>
      <c r="C59" s="136"/>
      <c r="D59" s="136"/>
      <c r="E59" s="136"/>
      <c r="F59" s="136"/>
      <c r="G59" s="136"/>
      <c r="H59" s="137">
        <f t="shared" si="3"/>
        <v>1</v>
      </c>
      <c r="I59" s="137"/>
      <c r="J59" s="137"/>
      <c r="K59" s="138">
        <f t="shared" si="4"/>
        <v>50</v>
      </c>
      <c r="L59" s="138"/>
      <c r="M59" s="139" t="str">
        <f t="shared" si="0"/>
        <v>OK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318268-5832</v>
      </c>
      <c r="C60" s="136"/>
      <c r="D60" s="136"/>
      <c r="E60" s="136"/>
      <c r="F60" s="136"/>
      <c r="G60" s="136"/>
      <c r="H60" s="137">
        <f t="shared" si="3"/>
        <v>112</v>
      </c>
      <c r="I60" s="137"/>
      <c r="J60" s="137"/>
      <c r="K60" s="138">
        <f t="shared" si="4"/>
        <v>11382</v>
      </c>
      <c r="L60" s="138"/>
      <c r="M60" s="139" t="str">
        <f t="shared" si="0"/>
        <v>SE,ME,RS,BE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307395-5832</v>
      </c>
      <c r="C61" s="136"/>
      <c r="D61" s="136"/>
      <c r="E61" s="136"/>
      <c r="F61" s="136"/>
      <c r="G61" s="136"/>
      <c r="H61" s="137">
        <f t="shared" si="3"/>
        <v>18</v>
      </c>
      <c r="I61" s="137"/>
      <c r="J61" s="137"/>
      <c r="K61" s="138">
        <f t="shared" si="4"/>
        <v>1525</v>
      </c>
      <c r="L61" s="138"/>
      <c r="M61" s="139" t="str">
        <f t="shared" si="0"/>
        <v>SE,ME,RS,BE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 t="str">
        <f t="shared" si="1"/>
        <v>308094-5832</v>
      </c>
      <c r="C62" s="136"/>
      <c r="D62" s="136"/>
      <c r="E62" s="136"/>
      <c r="F62" s="136"/>
      <c r="G62" s="136"/>
      <c r="H62" s="137">
        <f t="shared" si="3"/>
        <v>4</v>
      </c>
      <c r="I62" s="137"/>
      <c r="J62" s="137"/>
      <c r="K62" s="138">
        <f t="shared" si="4"/>
        <v>341</v>
      </c>
      <c r="L62" s="138"/>
      <c r="M62" s="139" t="str">
        <f t="shared" si="0"/>
        <v>SE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 t="str">
        <f t="shared" si="1"/>
        <v>307398-5832</v>
      </c>
      <c r="C63" s="136"/>
      <c r="D63" s="136"/>
      <c r="E63" s="136"/>
      <c r="F63" s="136"/>
      <c r="G63" s="136"/>
      <c r="H63" s="137">
        <f t="shared" si="3"/>
        <v>1</v>
      </c>
      <c r="I63" s="137"/>
      <c r="J63" s="137"/>
      <c r="K63" s="138">
        <f t="shared" si="4"/>
        <v>16</v>
      </c>
      <c r="L63" s="138"/>
      <c r="M63" s="139" t="str">
        <f t="shared" si="0"/>
        <v>RS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 t="str">
        <f t="shared" si="1"/>
        <v>320808-5833</v>
      </c>
      <c r="C64" s="136"/>
      <c r="D64" s="136"/>
      <c r="E64" s="136"/>
      <c r="F64" s="136"/>
      <c r="G64" s="136"/>
      <c r="H64" s="137">
        <f t="shared" si="3"/>
        <v>40</v>
      </c>
      <c r="I64" s="137"/>
      <c r="J64" s="137"/>
      <c r="K64" s="138">
        <f t="shared" si="4"/>
        <v>979</v>
      </c>
      <c r="L64" s="138"/>
      <c r="M64" s="139" t="str">
        <f t="shared" si="0"/>
        <v>ME,BE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 t="str">
        <f t="shared" si="1"/>
        <v>325378-5832</v>
      </c>
      <c r="C65" s="136"/>
      <c r="D65" s="136"/>
      <c r="E65" s="136"/>
      <c r="F65" s="136"/>
      <c r="G65" s="136"/>
      <c r="H65" s="137">
        <f t="shared" si="3"/>
        <v>10</v>
      </c>
      <c r="I65" s="137"/>
      <c r="J65" s="137"/>
      <c r="K65" s="138">
        <f t="shared" si="4"/>
        <v>682</v>
      </c>
      <c r="L65" s="138"/>
      <c r="M65" s="139" t="str">
        <f t="shared" si="0"/>
        <v>SW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 t="str">
        <f t="shared" si="1"/>
        <v>323242-5832</v>
      </c>
      <c r="C66" s="136"/>
      <c r="D66" s="136"/>
      <c r="E66" s="136"/>
      <c r="F66" s="136"/>
      <c r="G66" s="136"/>
      <c r="H66" s="137">
        <f t="shared" si="3"/>
        <v>1</v>
      </c>
      <c r="I66" s="137"/>
      <c r="J66" s="137"/>
      <c r="K66" s="138">
        <f t="shared" si="4"/>
        <v>71</v>
      </c>
      <c r="L66" s="138"/>
      <c r="M66" s="139" t="str">
        <f t="shared" si="0"/>
        <v>SW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204</v>
      </c>
      <c r="I75" s="156"/>
      <c r="J75" s="157"/>
      <c r="K75" s="158">
        <f>SUM(K55:L74)</f>
        <v>16106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MD.SHOMON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01601-541715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OO28551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C.M.TA 11-7555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O523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523768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Esack Brothers Industries Ltd.
Middle Halishahar, Bandar
Chattogram,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318457-5832</v>
      </c>
      <c r="C95" s="146"/>
      <c r="D95" s="146"/>
      <c r="E95" s="146"/>
      <c r="F95" s="146"/>
      <c r="G95" s="146"/>
      <c r="H95" s="147">
        <f>H55</f>
        <v>9</v>
      </c>
      <c r="I95" s="148"/>
      <c r="J95" s="149"/>
      <c r="K95" s="150">
        <f>K55</f>
        <v>756</v>
      </c>
      <c r="L95" s="151"/>
      <c r="M95" s="133" t="str">
        <f>M55</f>
        <v>RS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285477-5832</v>
      </c>
      <c r="C96" s="136"/>
      <c r="D96" s="136"/>
      <c r="E96" s="136"/>
      <c r="F96" s="136"/>
      <c r="G96" s="136"/>
      <c r="H96" s="137">
        <f>H56</f>
        <v>3</v>
      </c>
      <c r="I96" s="137"/>
      <c r="J96" s="137"/>
      <c r="K96" s="138">
        <f>K56</f>
        <v>94</v>
      </c>
      <c r="L96" s="138"/>
      <c r="M96" s="139" t="str">
        <f>M56</f>
        <v>KR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318242-5832</v>
      </c>
      <c r="C97" s="136"/>
      <c r="D97" s="136"/>
      <c r="E97" s="136"/>
      <c r="F97" s="136"/>
      <c r="G97" s="136"/>
      <c r="H97" s="137">
        <f>H57</f>
        <v>3</v>
      </c>
      <c r="I97" s="137"/>
      <c r="J97" s="137"/>
      <c r="K97" s="138">
        <f>K57</f>
        <v>130</v>
      </c>
      <c r="L97" s="138"/>
      <c r="M97" s="139" t="str">
        <f t="shared" ref="M97:M114" si="7">M57</f>
        <v>OD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309764-7952</v>
      </c>
      <c r="C98" s="136"/>
      <c r="D98" s="136"/>
      <c r="E98" s="136"/>
      <c r="F98" s="136"/>
      <c r="G98" s="136"/>
      <c r="H98" s="137">
        <f t="shared" ref="H98:H114" si="9">H58</f>
        <v>2</v>
      </c>
      <c r="I98" s="137"/>
      <c r="J98" s="137"/>
      <c r="K98" s="138">
        <f t="shared" ref="K98:K114" si="10">K58</f>
        <v>80</v>
      </c>
      <c r="L98" s="138"/>
      <c r="M98" s="139" t="str">
        <f t="shared" si="7"/>
        <v>OD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307361-5832</v>
      </c>
      <c r="C99" s="136"/>
      <c r="D99" s="136"/>
      <c r="E99" s="136"/>
      <c r="F99" s="136"/>
      <c r="G99" s="136"/>
      <c r="H99" s="137">
        <f t="shared" si="9"/>
        <v>1</v>
      </c>
      <c r="I99" s="137"/>
      <c r="J99" s="137"/>
      <c r="K99" s="138">
        <f t="shared" si="10"/>
        <v>50</v>
      </c>
      <c r="L99" s="138"/>
      <c r="M99" s="139" t="str">
        <f t="shared" si="7"/>
        <v>OK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318268-5832</v>
      </c>
      <c r="C100" s="136"/>
      <c r="D100" s="136"/>
      <c r="E100" s="136"/>
      <c r="F100" s="136"/>
      <c r="G100" s="136"/>
      <c r="H100" s="137">
        <f t="shared" si="9"/>
        <v>112</v>
      </c>
      <c r="I100" s="137"/>
      <c r="J100" s="137"/>
      <c r="K100" s="138">
        <f t="shared" si="10"/>
        <v>11382</v>
      </c>
      <c r="L100" s="138"/>
      <c r="M100" s="139" t="str">
        <f t="shared" si="7"/>
        <v>SE,ME,RS,BE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307395-5832</v>
      </c>
      <c r="C101" s="136"/>
      <c r="D101" s="136"/>
      <c r="E101" s="136"/>
      <c r="F101" s="136"/>
      <c r="G101" s="136"/>
      <c r="H101" s="137">
        <f t="shared" si="9"/>
        <v>18</v>
      </c>
      <c r="I101" s="137"/>
      <c r="J101" s="137"/>
      <c r="K101" s="138">
        <f t="shared" si="10"/>
        <v>1525</v>
      </c>
      <c r="L101" s="138"/>
      <c r="M101" s="139" t="str">
        <f t="shared" si="7"/>
        <v>SE,ME,RS,BE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 t="str">
        <f t="shared" si="6"/>
        <v>308094-5832</v>
      </c>
      <c r="C102" s="136"/>
      <c r="D102" s="136"/>
      <c r="E102" s="136"/>
      <c r="F102" s="136"/>
      <c r="G102" s="136"/>
      <c r="H102" s="137">
        <f t="shared" si="9"/>
        <v>4</v>
      </c>
      <c r="I102" s="137"/>
      <c r="J102" s="137"/>
      <c r="K102" s="138">
        <f t="shared" si="10"/>
        <v>341</v>
      </c>
      <c r="L102" s="138"/>
      <c r="M102" s="139" t="str">
        <f t="shared" si="7"/>
        <v>SE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 t="str">
        <f t="shared" si="6"/>
        <v>307398-5832</v>
      </c>
      <c r="C103" s="136"/>
      <c r="D103" s="136"/>
      <c r="E103" s="136"/>
      <c r="F103" s="136"/>
      <c r="G103" s="136"/>
      <c r="H103" s="137">
        <f t="shared" si="9"/>
        <v>1</v>
      </c>
      <c r="I103" s="137"/>
      <c r="J103" s="137"/>
      <c r="K103" s="138">
        <f t="shared" si="10"/>
        <v>16</v>
      </c>
      <c r="L103" s="138"/>
      <c r="M103" s="139" t="str">
        <f t="shared" si="7"/>
        <v>RS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 t="str">
        <f t="shared" si="6"/>
        <v>320808-5833</v>
      </c>
      <c r="C104" s="136"/>
      <c r="D104" s="136"/>
      <c r="E104" s="136"/>
      <c r="F104" s="136"/>
      <c r="G104" s="136"/>
      <c r="H104" s="137">
        <f t="shared" si="9"/>
        <v>40</v>
      </c>
      <c r="I104" s="137"/>
      <c r="J104" s="137"/>
      <c r="K104" s="138">
        <f t="shared" si="10"/>
        <v>979</v>
      </c>
      <c r="L104" s="138"/>
      <c r="M104" s="139" t="str">
        <f t="shared" si="7"/>
        <v>ME,BE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 t="str">
        <f t="shared" si="6"/>
        <v>325378-5832</v>
      </c>
      <c r="C105" s="136"/>
      <c r="D105" s="136"/>
      <c r="E105" s="136"/>
      <c r="F105" s="136"/>
      <c r="G105" s="136"/>
      <c r="H105" s="137">
        <f t="shared" si="9"/>
        <v>10</v>
      </c>
      <c r="I105" s="137"/>
      <c r="J105" s="137"/>
      <c r="K105" s="138">
        <f t="shared" si="10"/>
        <v>682</v>
      </c>
      <c r="L105" s="138"/>
      <c r="M105" s="139" t="str">
        <f t="shared" si="7"/>
        <v>SW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 t="str">
        <f t="shared" si="6"/>
        <v>323242-5832</v>
      </c>
      <c r="C106" s="136"/>
      <c r="D106" s="136"/>
      <c r="E106" s="136"/>
      <c r="F106" s="136"/>
      <c r="G106" s="136"/>
      <c r="H106" s="137">
        <f t="shared" si="9"/>
        <v>1</v>
      </c>
      <c r="I106" s="137"/>
      <c r="J106" s="137"/>
      <c r="K106" s="138">
        <f t="shared" si="10"/>
        <v>71</v>
      </c>
      <c r="L106" s="138"/>
      <c r="M106" s="139" t="str">
        <f t="shared" si="7"/>
        <v>SW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204</v>
      </c>
      <c r="I115" s="156"/>
      <c r="J115" s="157"/>
      <c r="K115" s="158">
        <f>SUM(K95:L114)</f>
        <v>16106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MD.SHOMON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01601-541715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OO28551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C.M.TA 11-7555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O523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523768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Esack Brothers Industries Ltd.
Middle Halishahar, Bandar
Chattogram,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318457-5832</v>
      </c>
      <c r="C135" s="146"/>
      <c r="D135" s="146"/>
      <c r="E135" s="146"/>
      <c r="F135" s="146"/>
      <c r="G135" s="146"/>
      <c r="H135" s="187">
        <f>H95</f>
        <v>9</v>
      </c>
      <c r="I135" s="188"/>
      <c r="J135" s="189"/>
      <c r="K135" s="190">
        <f>K95</f>
        <v>756</v>
      </c>
      <c r="L135" s="191"/>
      <c r="M135" s="133" t="str">
        <f>M95</f>
        <v>RS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285477-5832</v>
      </c>
      <c r="C136" s="136"/>
      <c r="D136" s="136"/>
      <c r="E136" s="136"/>
      <c r="F136" s="136"/>
      <c r="G136" s="136"/>
      <c r="H136" s="179">
        <f>H96</f>
        <v>3</v>
      </c>
      <c r="I136" s="180"/>
      <c r="J136" s="181"/>
      <c r="K136" s="182">
        <f>K96</f>
        <v>94</v>
      </c>
      <c r="L136" s="183"/>
      <c r="M136" s="184" t="str">
        <f>M96</f>
        <v>KR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318242-5832</v>
      </c>
      <c r="C137" s="136"/>
      <c r="D137" s="136"/>
      <c r="E137" s="136"/>
      <c r="F137" s="136"/>
      <c r="G137" s="136"/>
      <c r="H137" s="179">
        <f>H97</f>
        <v>3</v>
      </c>
      <c r="I137" s="180"/>
      <c r="J137" s="181"/>
      <c r="K137" s="182">
        <f>K97</f>
        <v>130</v>
      </c>
      <c r="L137" s="183"/>
      <c r="M137" s="184" t="str">
        <f t="shared" ref="M137:M154" si="13">M97</f>
        <v>OD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309764-7952</v>
      </c>
      <c r="C138" s="136"/>
      <c r="D138" s="136"/>
      <c r="E138" s="136"/>
      <c r="F138" s="136"/>
      <c r="G138" s="136"/>
      <c r="H138" s="179">
        <f t="shared" ref="H138:H154" si="15">H98</f>
        <v>2</v>
      </c>
      <c r="I138" s="180"/>
      <c r="J138" s="181"/>
      <c r="K138" s="182">
        <f t="shared" ref="K138:K154" si="16">K98</f>
        <v>80</v>
      </c>
      <c r="L138" s="183"/>
      <c r="M138" s="184" t="str">
        <f t="shared" si="13"/>
        <v>OD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307361-5832</v>
      </c>
      <c r="C139" s="136"/>
      <c r="D139" s="136"/>
      <c r="E139" s="136"/>
      <c r="F139" s="136"/>
      <c r="G139" s="136"/>
      <c r="H139" s="179">
        <f t="shared" si="15"/>
        <v>1</v>
      </c>
      <c r="I139" s="180"/>
      <c r="J139" s="181"/>
      <c r="K139" s="182">
        <f t="shared" si="16"/>
        <v>50</v>
      </c>
      <c r="L139" s="183"/>
      <c r="M139" s="184" t="str">
        <f t="shared" si="13"/>
        <v>OK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318268-5832</v>
      </c>
      <c r="C140" s="136"/>
      <c r="D140" s="136"/>
      <c r="E140" s="136"/>
      <c r="F140" s="136"/>
      <c r="G140" s="136"/>
      <c r="H140" s="179">
        <f t="shared" si="15"/>
        <v>112</v>
      </c>
      <c r="I140" s="180"/>
      <c r="J140" s="181"/>
      <c r="K140" s="182">
        <f t="shared" si="16"/>
        <v>11382</v>
      </c>
      <c r="L140" s="183"/>
      <c r="M140" s="184" t="str">
        <f t="shared" si="13"/>
        <v>SE,ME,RS,BE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307395-5832</v>
      </c>
      <c r="C141" s="136"/>
      <c r="D141" s="136"/>
      <c r="E141" s="136"/>
      <c r="F141" s="136"/>
      <c r="G141" s="136"/>
      <c r="H141" s="179">
        <f t="shared" si="15"/>
        <v>18</v>
      </c>
      <c r="I141" s="180"/>
      <c r="J141" s="181"/>
      <c r="K141" s="182">
        <f t="shared" si="16"/>
        <v>1525</v>
      </c>
      <c r="L141" s="183"/>
      <c r="M141" s="184" t="str">
        <f t="shared" si="13"/>
        <v>SE,ME,RS,BE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 t="str">
        <f t="shared" si="12"/>
        <v>308094-5832</v>
      </c>
      <c r="C142" s="136"/>
      <c r="D142" s="136"/>
      <c r="E142" s="136"/>
      <c r="F142" s="136"/>
      <c r="G142" s="136"/>
      <c r="H142" s="179">
        <f t="shared" si="15"/>
        <v>4</v>
      </c>
      <c r="I142" s="180"/>
      <c r="J142" s="181"/>
      <c r="K142" s="182">
        <f t="shared" si="16"/>
        <v>341</v>
      </c>
      <c r="L142" s="183"/>
      <c r="M142" s="184" t="str">
        <f t="shared" si="13"/>
        <v>SE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 t="str">
        <f t="shared" si="12"/>
        <v>307398-5832</v>
      </c>
      <c r="C143" s="136"/>
      <c r="D143" s="136"/>
      <c r="E143" s="136"/>
      <c r="F143" s="136"/>
      <c r="G143" s="136"/>
      <c r="H143" s="179">
        <f t="shared" si="15"/>
        <v>1</v>
      </c>
      <c r="I143" s="180"/>
      <c r="J143" s="181"/>
      <c r="K143" s="182">
        <f t="shared" si="16"/>
        <v>16</v>
      </c>
      <c r="L143" s="183"/>
      <c r="M143" s="184" t="str">
        <f t="shared" si="13"/>
        <v>RS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 t="str">
        <f t="shared" si="12"/>
        <v>320808-5833</v>
      </c>
      <c r="C144" s="136"/>
      <c r="D144" s="136"/>
      <c r="E144" s="136"/>
      <c r="F144" s="136"/>
      <c r="G144" s="136"/>
      <c r="H144" s="179">
        <f t="shared" si="15"/>
        <v>40</v>
      </c>
      <c r="I144" s="180"/>
      <c r="J144" s="181"/>
      <c r="K144" s="182">
        <f t="shared" si="16"/>
        <v>979</v>
      </c>
      <c r="L144" s="183"/>
      <c r="M144" s="184" t="str">
        <f t="shared" si="13"/>
        <v>ME,BE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 t="str">
        <f t="shared" si="12"/>
        <v>325378-5832</v>
      </c>
      <c r="C145" s="136"/>
      <c r="D145" s="136"/>
      <c r="E145" s="136"/>
      <c r="F145" s="136"/>
      <c r="G145" s="136"/>
      <c r="H145" s="179">
        <f t="shared" si="15"/>
        <v>10</v>
      </c>
      <c r="I145" s="180"/>
      <c r="J145" s="181"/>
      <c r="K145" s="182">
        <f t="shared" si="16"/>
        <v>682</v>
      </c>
      <c r="L145" s="183"/>
      <c r="M145" s="184" t="str">
        <f t="shared" si="13"/>
        <v>SW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 t="str">
        <f t="shared" si="12"/>
        <v>323242-5832</v>
      </c>
      <c r="C146" s="136"/>
      <c r="D146" s="136"/>
      <c r="E146" s="136"/>
      <c r="F146" s="136"/>
      <c r="G146" s="136"/>
      <c r="H146" s="179">
        <f t="shared" si="15"/>
        <v>1</v>
      </c>
      <c r="I146" s="180"/>
      <c r="J146" s="181"/>
      <c r="K146" s="182">
        <f t="shared" si="16"/>
        <v>71</v>
      </c>
      <c r="L146" s="183"/>
      <c r="M146" s="184" t="str">
        <f t="shared" si="13"/>
        <v>SW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204</v>
      </c>
      <c r="I155" s="195"/>
      <c r="J155" s="196"/>
      <c r="K155" s="158">
        <f>SUM(K135:L154)</f>
        <v>16106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MD.SHOMON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01601-541715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OO28551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C.M.TA 11-7555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C14:D14 C94:D94 C54:D54 C134:D134" xr:uid="{6FE73CE1-3ABB-49DA-B9C7-62AF94C494C8}">
      <formula1>$W$7:$W$161</formula1>
    </dataValidation>
    <dataValidation type="list" allowBlank="1" showInputMessage="1" showErrorMessage="1" sqref="L9:P11 L49:P51 L89:P91 L129:P131" xr:uid="{CC0D6F67-16C7-48EA-8005-9A47ACB6B600}">
      <formula1>Carrier</formula1>
    </dataValidation>
    <dataValidation type="list" allowBlank="1" showInputMessage="1" showErrorMessage="1" sqref="A8 A48 A88 A128" xr:uid="{F3BC66D7-0D81-4B9F-BC95-D2847DE566BB}">
      <formula1>$T$7:$T$35</formula1>
    </dataValidation>
    <dataValidation type="list" allowBlank="1" showInputMessage="1" showErrorMessage="1" sqref="L8:P8 L48:P48 L88:P88 L128:P128" xr:uid="{3AE091B7-88AE-41AA-A7FA-C1C4A26CA64B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1FE2-1101-41B3-B947-1F9F20C1935C}">
  <sheetPr>
    <tabColor rgb="FF00B050"/>
  </sheetPr>
  <dimension ref="A1:Y168"/>
  <sheetViews>
    <sheetView view="pageBreakPreview" zoomScaleNormal="100" zoomScaleSheetLayoutView="100" workbookViewId="0">
      <selection activeCell="C6" sqref="C6:F6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176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158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157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30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159</v>
      </c>
      <c r="C15" s="146"/>
      <c r="D15" s="146"/>
      <c r="E15" s="146"/>
      <c r="F15" s="146"/>
      <c r="G15" s="146"/>
      <c r="H15" s="147">
        <v>4</v>
      </c>
      <c r="I15" s="148"/>
      <c r="J15" s="149"/>
      <c r="K15" s="150">
        <v>239</v>
      </c>
      <c r="L15" s="151"/>
      <c r="M15" s="133" t="s">
        <v>160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/>
      <c r="C16" s="136"/>
      <c r="D16" s="136"/>
      <c r="E16" s="136"/>
      <c r="F16" s="136"/>
      <c r="G16" s="136"/>
      <c r="H16" s="137">
        <v>4</v>
      </c>
      <c r="I16" s="137"/>
      <c r="J16" s="137"/>
      <c r="K16" s="138">
        <v>181</v>
      </c>
      <c r="L16" s="138"/>
      <c r="M16" s="139" t="s">
        <v>161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/>
      <c r="C17" s="136"/>
      <c r="D17" s="136"/>
      <c r="E17" s="136"/>
      <c r="F17" s="136"/>
      <c r="G17" s="136"/>
      <c r="H17" s="137">
        <v>14</v>
      </c>
      <c r="I17" s="137"/>
      <c r="J17" s="137"/>
      <c r="K17" s="138">
        <v>894</v>
      </c>
      <c r="L17" s="138"/>
      <c r="M17" s="139" t="s">
        <v>162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/>
      <c r="C18" s="136"/>
      <c r="D18" s="136"/>
      <c r="E18" s="136"/>
      <c r="F18" s="136"/>
      <c r="G18" s="136"/>
      <c r="H18" s="137">
        <v>4</v>
      </c>
      <c r="I18" s="137"/>
      <c r="J18" s="137"/>
      <c r="K18" s="138">
        <v>147</v>
      </c>
      <c r="L18" s="138"/>
      <c r="M18" s="139" t="s">
        <v>163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/>
      <c r="I19" s="137"/>
      <c r="J19" s="137"/>
      <c r="K19" s="138"/>
      <c r="L19" s="138"/>
      <c r="M19" s="139"/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/>
      <c r="I20" s="137"/>
      <c r="J20" s="137"/>
      <c r="K20" s="138"/>
      <c r="L20" s="138"/>
      <c r="M20" s="152"/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/>
      <c r="I21" s="137"/>
      <c r="J21" s="137"/>
      <c r="K21" s="138"/>
      <c r="L21" s="138"/>
      <c r="M21" s="139"/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26</v>
      </c>
      <c r="I35" s="156"/>
      <c r="J35" s="157"/>
      <c r="K35" s="158">
        <f>SUM(K15:L34)</f>
        <v>1461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167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165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166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164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O524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523759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HELLMANN WORLDWIDE LOGISTICS.
Hrb Industrial Complex, Istema Road,
Nasimpur, Tongi, Gazipur,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AIR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317015-5828</v>
      </c>
      <c r="C55" s="146"/>
      <c r="D55" s="146"/>
      <c r="E55" s="146"/>
      <c r="F55" s="146"/>
      <c r="G55" s="146"/>
      <c r="H55" s="147">
        <f>H15</f>
        <v>4</v>
      </c>
      <c r="I55" s="148"/>
      <c r="J55" s="149"/>
      <c r="K55" s="150">
        <f>K15</f>
        <v>239</v>
      </c>
      <c r="L55" s="151"/>
      <c r="M55" s="133" t="str">
        <f>M15</f>
        <v>GBW264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>
        <f>B16</f>
        <v>0</v>
      </c>
      <c r="C56" s="136"/>
      <c r="D56" s="136"/>
      <c r="E56" s="136"/>
      <c r="F56" s="136"/>
      <c r="G56" s="136"/>
      <c r="H56" s="137">
        <f>H16</f>
        <v>4</v>
      </c>
      <c r="I56" s="137"/>
      <c r="J56" s="137"/>
      <c r="K56" s="138">
        <f>K16</f>
        <v>181</v>
      </c>
      <c r="L56" s="138"/>
      <c r="M56" s="139" t="str">
        <f t="shared" ref="M56:M74" si="0">M16</f>
        <v>LH ITW128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>
        <f t="shared" si="1"/>
        <v>0</v>
      </c>
      <c r="C57" s="136"/>
      <c r="D57" s="136"/>
      <c r="E57" s="136"/>
      <c r="F57" s="136"/>
      <c r="G57" s="136"/>
      <c r="H57" s="137">
        <f>H17</f>
        <v>14</v>
      </c>
      <c r="I57" s="137"/>
      <c r="J57" s="137"/>
      <c r="K57" s="138">
        <f>K17</f>
        <v>894</v>
      </c>
      <c r="L57" s="138"/>
      <c r="M57" s="139" t="str">
        <f t="shared" si="0"/>
        <v>LH PLW256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>
        <f t="shared" si="1"/>
        <v>0</v>
      </c>
      <c r="C58" s="136"/>
      <c r="D58" s="136"/>
      <c r="E58" s="136"/>
      <c r="F58" s="136"/>
      <c r="G58" s="136"/>
      <c r="H58" s="137">
        <f t="shared" ref="H58:H74" si="3">H18</f>
        <v>4</v>
      </c>
      <c r="I58" s="137"/>
      <c r="J58" s="137"/>
      <c r="K58" s="138">
        <f t="shared" ref="K58:K74" si="4">K18</f>
        <v>147</v>
      </c>
      <c r="L58" s="138"/>
      <c r="M58" s="139" t="str">
        <f t="shared" si="0"/>
        <v>OT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>
        <f t="shared" si="1"/>
        <v>0</v>
      </c>
      <c r="C59" s="136"/>
      <c r="D59" s="136"/>
      <c r="E59" s="136"/>
      <c r="F59" s="136"/>
      <c r="G59" s="136"/>
      <c r="H59" s="137">
        <f t="shared" si="3"/>
        <v>0</v>
      </c>
      <c r="I59" s="137"/>
      <c r="J59" s="137"/>
      <c r="K59" s="138">
        <f t="shared" si="4"/>
        <v>0</v>
      </c>
      <c r="L59" s="138"/>
      <c r="M59" s="139">
        <f t="shared" si="0"/>
        <v>0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>
        <f t="shared" si="1"/>
        <v>0</v>
      </c>
      <c r="C60" s="136"/>
      <c r="D60" s="136"/>
      <c r="E60" s="136"/>
      <c r="F60" s="136"/>
      <c r="G60" s="136"/>
      <c r="H60" s="137">
        <f t="shared" si="3"/>
        <v>0</v>
      </c>
      <c r="I60" s="137"/>
      <c r="J60" s="137"/>
      <c r="K60" s="138">
        <f t="shared" si="4"/>
        <v>0</v>
      </c>
      <c r="L60" s="138"/>
      <c r="M60" s="139">
        <f t="shared" si="0"/>
        <v>0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>
        <f t="shared" si="1"/>
        <v>0</v>
      </c>
      <c r="C61" s="136"/>
      <c r="D61" s="136"/>
      <c r="E61" s="136"/>
      <c r="F61" s="136"/>
      <c r="G61" s="136"/>
      <c r="H61" s="137">
        <f t="shared" si="3"/>
        <v>0</v>
      </c>
      <c r="I61" s="137"/>
      <c r="J61" s="137"/>
      <c r="K61" s="138">
        <f t="shared" si="4"/>
        <v>0</v>
      </c>
      <c r="L61" s="138"/>
      <c r="M61" s="139">
        <f t="shared" si="0"/>
        <v>0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26</v>
      </c>
      <c r="I75" s="156"/>
      <c r="J75" s="157"/>
      <c r="K75" s="158">
        <f>SUM(K55:L74)</f>
        <v>1461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MD.SHOREFUL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01601-844635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DN324072MP016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D.M.NA 17-2041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O524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523759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HELLMANN WORLDWIDE LOGISTICS.
Hrb Industrial Complex, Istema Road,
Nasimpur, Tongi, Gazipur,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AIR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317015-5828</v>
      </c>
      <c r="C95" s="146"/>
      <c r="D95" s="146"/>
      <c r="E95" s="146"/>
      <c r="F95" s="146"/>
      <c r="G95" s="146"/>
      <c r="H95" s="147">
        <f>H55</f>
        <v>4</v>
      </c>
      <c r="I95" s="148"/>
      <c r="J95" s="149"/>
      <c r="K95" s="150">
        <f>K55</f>
        <v>239</v>
      </c>
      <c r="L95" s="151"/>
      <c r="M95" s="133" t="str">
        <f>M55</f>
        <v>GBW264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>
        <f>B56</f>
        <v>0</v>
      </c>
      <c r="C96" s="136"/>
      <c r="D96" s="136"/>
      <c r="E96" s="136"/>
      <c r="F96" s="136"/>
      <c r="G96" s="136"/>
      <c r="H96" s="137">
        <f>H56</f>
        <v>4</v>
      </c>
      <c r="I96" s="137"/>
      <c r="J96" s="137"/>
      <c r="K96" s="138">
        <f>K56</f>
        <v>181</v>
      </c>
      <c r="L96" s="138"/>
      <c r="M96" s="139" t="str">
        <f>M56</f>
        <v>LH ITW128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>
        <f t="shared" si="6"/>
        <v>0</v>
      </c>
      <c r="C97" s="136"/>
      <c r="D97" s="136"/>
      <c r="E97" s="136"/>
      <c r="F97" s="136"/>
      <c r="G97" s="136"/>
      <c r="H97" s="137">
        <f>H57</f>
        <v>14</v>
      </c>
      <c r="I97" s="137"/>
      <c r="J97" s="137"/>
      <c r="K97" s="138">
        <f>K57</f>
        <v>894</v>
      </c>
      <c r="L97" s="138"/>
      <c r="M97" s="139" t="str">
        <f t="shared" ref="M97:M114" si="7">M57</f>
        <v>LH PLW256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>
        <f t="shared" si="6"/>
        <v>0</v>
      </c>
      <c r="C98" s="136"/>
      <c r="D98" s="136"/>
      <c r="E98" s="136"/>
      <c r="F98" s="136"/>
      <c r="G98" s="136"/>
      <c r="H98" s="137">
        <f t="shared" ref="H98:H114" si="9">H58</f>
        <v>4</v>
      </c>
      <c r="I98" s="137"/>
      <c r="J98" s="137"/>
      <c r="K98" s="138">
        <f t="shared" ref="K98:K114" si="10">K58</f>
        <v>147</v>
      </c>
      <c r="L98" s="138"/>
      <c r="M98" s="139" t="str">
        <f t="shared" si="7"/>
        <v>OT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0</v>
      </c>
      <c r="I99" s="137"/>
      <c r="J99" s="137"/>
      <c r="K99" s="138">
        <f t="shared" si="10"/>
        <v>0</v>
      </c>
      <c r="L99" s="138"/>
      <c r="M99" s="139">
        <f t="shared" si="7"/>
        <v>0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0</v>
      </c>
      <c r="I100" s="137"/>
      <c r="J100" s="137"/>
      <c r="K100" s="138">
        <f t="shared" si="10"/>
        <v>0</v>
      </c>
      <c r="L100" s="138"/>
      <c r="M100" s="139">
        <f t="shared" si="7"/>
        <v>0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0</v>
      </c>
      <c r="I101" s="137"/>
      <c r="J101" s="137"/>
      <c r="K101" s="138">
        <f t="shared" si="10"/>
        <v>0</v>
      </c>
      <c r="L101" s="138"/>
      <c r="M101" s="139">
        <f t="shared" si="7"/>
        <v>0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26</v>
      </c>
      <c r="I115" s="156"/>
      <c r="J115" s="157"/>
      <c r="K115" s="158">
        <f>SUM(K95:L114)</f>
        <v>1461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MD.SHOREFUL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01601-844635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DN324072MP016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D.M.NA 17-2041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O524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523759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HELLMANN WORLDWIDE LOGISTICS.
Hrb Industrial Complex, Istema Road,
Nasimpur, Tongi, Gazipur,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AIR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317015-5828</v>
      </c>
      <c r="C135" s="146"/>
      <c r="D135" s="146"/>
      <c r="E135" s="146"/>
      <c r="F135" s="146"/>
      <c r="G135" s="146"/>
      <c r="H135" s="187">
        <f>H95</f>
        <v>4</v>
      </c>
      <c r="I135" s="188"/>
      <c r="J135" s="189"/>
      <c r="K135" s="190">
        <f>K95</f>
        <v>239</v>
      </c>
      <c r="L135" s="191"/>
      <c r="M135" s="133" t="str">
        <f>M95</f>
        <v>GBW264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>
        <f>B96</f>
        <v>0</v>
      </c>
      <c r="C136" s="136"/>
      <c r="D136" s="136"/>
      <c r="E136" s="136"/>
      <c r="F136" s="136"/>
      <c r="G136" s="136"/>
      <c r="H136" s="179">
        <f>H96</f>
        <v>4</v>
      </c>
      <c r="I136" s="180"/>
      <c r="J136" s="181"/>
      <c r="K136" s="182">
        <f>K96</f>
        <v>181</v>
      </c>
      <c r="L136" s="183"/>
      <c r="M136" s="184" t="str">
        <f>M96</f>
        <v>LH ITW128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>
        <f t="shared" si="12"/>
        <v>0</v>
      </c>
      <c r="C137" s="136"/>
      <c r="D137" s="136"/>
      <c r="E137" s="136"/>
      <c r="F137" s="136"/>
      <c r="G137" s="136"/>
      <c r="H137" s="179">
        <f>H97</f>
        <v>14</v>
      </c>
      <c r="I137" s="180"/>
      <c r="J137" s="181"/>
      <c r="K137" s="182">
        <f>K97</f>
        <v>894</v>
      </c>
      <c r="L137" s="183"/>
      <c r="M137" s="184" t="str">
        <f t="shared" ref="M137:M154" si="13">M97</f>
        <v>LH PLW256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>
        <f t="shared" si="12"/>
        <v>0</v>
      </c>
      <c r="C138" s="136"/>
      <c r="D138" s="136"/>
      <c r="E138" s="136"/>
      <c r="F138" s="136"/>
      <c r="G138" s="136"/>
      <c r="H138" s="179">
        <f t="shared" ref="H138:H154" si="15">H98</f>
        <v>4</v>
      </c>
      <c r="I138" s="180"/>
      <c r="J138" s="181"/>
      <c r="K138" s="182">
        <f t="shared" ref="K138:K154" si="16">K98</f>
        <v>147</v>
      </c>
      <c r="L138" s="183"/>
      <c r="M138" s="184" t="str">
        <f t="shared" si="13"/>
        <v>OT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0</v>
      </c>
      <c r="I139" s="180"/>
      <c r="J139" s="181"/>
      <c r="K139" s="182">
        <f t="shared" si="16"/>
        <v>0</v>
      </c>
      <c r="L139" s="183"/>
      <c r="M139" s="184">
        <f t="shared" si="13"/>
        <v>0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0</v>
      </c>
      <c r="I140" s="180"/>
      <c r="J140" s="181"/>
      <c r="K140" s="182">
        <f t="shared" si="16"/>
        <v>0</v>
      </c>
      <c r="L140" s="183"/>
      <c r="M140" s="184">
        <f t="shared" si="13"/>
        <v>0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0</v>
      </c>
      <c r="I141" s="180"/>
      <c r="J141" s="181"/>
      <c r="K141" s="182">
        <f t="shared" si="16"/>
        <v>0</v>
      </c>
      <c r="L141" s="183"/>
      <c r="M141" s="184">
        <f t="shared" si="13"/>
        <v>0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26</v>
      </c>
      <c r="I155" s="195"/>
      <c r="J155" s="196"/>
      <c r="K155" s="158">
        <f>SUM(K135:L154)</f>
        <v>1461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MD.SHOREFUL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01601-844635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DN324072MP016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D.M.NA 17-2041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L8:P8 L48:P48 L88:P88 L128:P128" xr:uid="{115C811C-C3CC-4CDE-8DAE-2F876D67696C}">
      <formula1>Mode</formula1>
    </dataValidation>
    <dataValidation type="list" allowBlank="1" showInputMessage="1" showErrorMessage="1" sqref="A8 A48 A88 A128" xr:uid="{FBE355C1-7D6B-40DB-AEE4-7754BB46860A}">
      <formula1>$T$7:$T$35</formula1>
    </dataValidation>
    <dataValidation type="list" allowBlank="1" showInputMessage="1" showErrorMessage="1" sqref="L9:P11 L49:P51 L89:P91 L129:P131" xr:uid="{17667CFC-9710-4A4B-A2C3-A3915A3BF4C9}">
      <formula1>Carrier</formula1>
    </dataValidation>
    <dataValidation type="list" allowBlank="1" showInputMessage="1" showErrorMessage="1" sqref="C14:D14 C94:D94 C54:D54 C134:D134" xr:uid="{C6F90AFE-3C68-476B-A133-229F996A95FD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6292-2AE2-484C-9F7B-44C62C0D6112}">
  <sheetPr>
    <tabColor rgb="FF00B050"/>
  </sheetPr>
  <dimension ref="A1:Y168"/>
  <sheetViews>
    <sheetView view="pageBreakPreview" zoomScaleNormal="100" zoomScaleSheetLayoutView="100" workbookViewId="0">
      <selection activeCell="AA25" sqref="AA25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177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248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168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30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159</v>
      </c>
      <c r="C15" s="146"/>
      <c r="D15" s="146"/>
      <c r="E15" s="146"/>
      <c r="F15" s="146"/>
      <c r="G15" s="146"/>
      <c r="H15" s="147">
        <v>15</v>
      </c>
      <c r="I15" s="148"/>
      <c r="J15" s="149"/>
      <c r="K15" s="150">
        <v>984</v>
      </c>
      <c r="L15" s="151"/>
      <c r="M15" s="133" t="s">
        <v>169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/>
      <c r="C16" s="136"/>
      <c r="D16" s="136"/>
      <c r="E16" s="136"/>
      <c r="F16" s="136"/>
      <c r="G16" s="136"/>
      <c r="H16" s="137">
        <v>6</v>
      </c>
      <c r="I16" s="137"/>
      <c r="J16" s="137"/>
      <c r="K16" s="138">
        <v>337</v>
      </c>
      <c r="L16" s="138"/>
      <c r="M16" s="139" t="s">
        <v>170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/>
      <c r="C17" s="136"/>
      <c r="D17" s="136"/>
      <c r="E17" s="136"/>
      <c r="F17" s="136"/>
      <c r="G17" s="136"/>
      <c r="H17" s="137">
        <v>1</v>
      </c>
      <c r="I17" s="137"/>
      <c r="J17" s="137"/>
      <c r="K17" s="138">
        <v>36</v>
      </c>
      <c r="L17" s="138"/>
      <c r="M17" s="139" t="s">
        <v>171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/>
      <c r="C18" s="136"/>
      <c r="D18" s="136"/>
      <c r="E18" s="136"/>
      <c r="F18" s="136"/>
      <c r="G18" s="136"/>
      <c r="H18" s="137">
        <v>14</v>
      </c>
      <c r="I18" s="137"/>
      <c r="J18" s="137"/>
      <c r="K18" s="138">
        <v>984</v>
      </c>
      <c r="L18" s="138"/>
      <c r="M18" s="139" t="s">
        <v>172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>
        <v>18</v>
      </c>
      <c r="I19" s="137"/>
      <c r="J19" s="137"/>
      <c r="K19" s="138">
        <v>1239</v>
      </c>
      <c r="L19" s="138"/>
      <c r="M19" s="139" t="s">
        <v>173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>
        <v>2</v>
      </c>
      <c r="I20" s="137"/>
      <c r="J20" s="137"/>
      <c r="K20" s="138">
        <v>82</v>
      </c>
      <c r="L20" s="138"/>
      <c r="M20" s="152" t="s">
        <v>174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>
        <v>2</v>
      </c>
      <c r="I21" s="137"/>
      <c r="J21" s="137"/>
      <c r="K21" s="138">
        <v>90</v>
      </c>
      <c r="L21" s="138"/>
      <c r="M21" s="139" t="s">
        <v>132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58</v>
      </c>
      <c r="I35" s="156"/>
      <c r="J35" s="157"/>
      <c r="K35" s="158">
        <f>SUM(K15:L34)</f>
        <v>3752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/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250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251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249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O525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523765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Nippon Express Bangladesh Ltd.
Holding No: 1015/1
Gacha Road, Tongi, Gazipur,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AIR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317015-5828</v>
      </c>
      <c r="C55" s="146"/>
      <c r="D55" s="146"/>
      <c r="E55" s="146"/>
      <c r="F55" s="146"/>
      <c r="G55" s="146"/>
      <c r="H55" s="147">
        <f>H15</f>
        <v>15</v>
      </c>
      <c r="I55" s="148"/>
      <c r="J55" s="149"/>
      <c r="K55" s="150">
        <f>K15</f>
        <v>984</v>
      </c>
      <c r="L55" s="151"/>
      <c r="M55" s="133" t="str">
        <f>M15</f>
        <v>USW068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>
        <f>B16</f>
        <v>0</v>
      </c>
      <c r="C56" s="136"/>
      <c r="D56" s="136"/>
      <c r="E56" s="136"/>
      <c r="F56" s="136"/>
      <c r="G56" s="136"/>
      <c r="H56" s="137">
        <f>H16</f>
        <v>6</v>
      </c>
      <c r="I56" s="137"/>
      <c r="J56" s="137"/>
      <c r="K56" s="138">
        <f>K16</f>
        <v>337</v>
      </c>
      <c r="L56" s="138"/>
      <c r="M56" s="139" t="str">
        <f t="shared" ref="M56:M74" si="0">M16</f>
        <v>USW305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>
        <f t="shared" si="1"/>
        <v>0</v>
      </c>
      <c r="C57" s="136"/>
      <c r="D57" s="136"/>
      <c r="E57" s="136"/>
      <c r="F57" s="136"/>
      <c r="G57" s="136"/>
      <c r="H57" s="137">
        <f>H17</f>
        <v>1</v>
      </c>
      <c r="I57" s="137"/>
      <c r="J57" s="137"/>
      <c r="K57" s="138">
        <f>K17</f>
        <v>36</v>
      </c>
      <c r="L57" s="138"/>
      <c r="M57" s="139" t="str">
        <f t="shared" si="0"/>
        <v>OB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>
        <f t="shared" si="1"/>
        <v>0</v>
      </c>
      <c r="C58" s="136"/>
      <c r="D58" s="136"/>
      <c r="E58" s="136"/>
      <c r="F58" s="136"/>
      <c r="G58" s="136"/>
      <c r="H58" s="137">
        <f t="shared" ref="H58:H74" si="3">H18</f>
        <v>14</v>
      </c>
      <c r="I58" s="137"/>
      <c r="J58" s="137"/>
      <c r="K58" s="138">
        <f t="shared" ref="K58:K74" si="4">K18</f>
        <v>984</v>
      </c>
      <c r="L58" s="138"/>
      <c r="M58" s="139" t="str">
        <f t="shared" si="0"/>
        <v>OI INW243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>
        <f t="shared" si="1"/>
        <v>0</v>
      </c>
      <c r="C59" s="136"/>
      <c r="D59" s="136"/>
      <c r="E59" s="136"/>
      <c r="F59" s="136"/>
      <c r="G59" s="136"/>
      <c r="H59" s="137">
        <f t="shared" si="3"/>
        <v>18</v>
      </c>
      <c r="I59" s="137"/>
      <c r="J59" s="137"/>
      <c r="K59" s="138">
        <f t="shared" si="4"/>
        <v>1239</v>
      </c>
      <c r="L59" s="138"/>
      <c r="M59" s="139" t="str">
        <f t="shared" si="0"/>
        <v>OI INW404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>
        <f t="shared" si="1"/>
        <v>0</v>
      </c>
      <c r="C60" s="136"/>
      <c r="D60" s="136"/>
      <c r="E60" s="136"/>
      <c r="F60" s="136"/>
      <c r="G60" s="136"/>
      <c r="H60" s="137">
        <f t="shared" si="3"/>
        <v>2</v>
      </c>
      <c r="I60" s="137"/>
      <c r="J60" s="137"/>
      <c r="K60" s="138">
        <f t="shared" si="4"/>
        <v>82</v>
      </c>
      <c r="L60" s="138"/>
      <c r="M60" s="139" t="str">
        <f t="shared" si="0"/>
        <v>OJ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>
        <f t="shared" si="1"/>
        <v>0</v>
      </c>
      <c r="C61" s="136"/>
      <c r="D61" s="136"/>
      <c r="E61" s="136"/>
      <c r="F61" s="136"/>
      <c r="G61" s="136"/>
      <c r="H61" s="137">
        <f t="shared" si="3"/>
        <v>2</v>
      </c>
      <c r="I61" s="137"/>
      <c r="J61" s="137"/>
      <c r="K61" s="138">
        <f t="shared" si="4"/>
        <v>90</v>
      </c>
      <c r="L61" s="138"/>
      <c r="M61" s="139" t="str">
        <f t="shared" si="0"/>
        <v>OK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58</v>
      </c>
      <c r="I75" s="156"/>
      <c r="J75" s="157"/>
      <c r="K75" s="158">
        <f>SUM(K55:L74)</f>
        <v>3752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>
        <f>D37</f>
        <v>0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01716-131215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DK0026284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NATROCONA NA 11-0049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O525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523765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Nippon Express Bangladesh Ltd.
Holding No: 1015/1
Gacha Road, Tongi, Gazipur,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AIR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317015-5828</v>
      </c>
      <c r="C95" s="146"/>
      <c r="D95" s="146"/>
      <c r="E95" s="146"/>
      <c r="F95" s="146"/>
      <c r="G95" s="146"/>
      <c r="H95" s="147">
        <f>H55</f>
        <v>15</v>
      </c>
      <c r="I95" s="148"/>
      <c r="J95" s="149"/>
      <c r="K95" s="150">
        <f>K55</f>
        <v>984</v>
      </c>
      <c r="L95" s="151"/>
      <c r="M95" s="133" t="str">
        <f>M55</f>
        <v>USW068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>
        <f>B56</f>
        <v>0</v>
      </c>
      <c r="C96" s="136"/>
      <c r="D96" s="136"/>
      <c r="E96" s="136"/>
      <c r="F96" s="136"/>
      <c r="G96" s="136"/>
      <c r="H96" s="137">
        <f>H56</f>
        <v>6</v>
      </c>
      <c r="I96" s="137"/>
      <c r="J96" s="137"/>
      <c r="K96" s="138">
        <f>K56</f>
        <v>337</v>
      </c>
      <c r="L96" s="138"/>
      <c r="M96" s="139" t="str">
        <f>M56</f>
        <v>USW305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>
        <f t="shared" si="6"/>
        <v>0</v>
      </c>
      <c r="C97" s="136"/>
      <c r="D97" s="136"/>
      <c r="E97" s="136"/>
      <c r="F97" s="136"/>
      <c r="G97" s="136"/>
      <c r="H97" s="137">
        <f>H57</f>
        <v>1</v>
      </c>
      <c r="I97" s="137"/>
      <c r="J97" s="137"/>
      <c r="K97" s="138">
        <f>K57</f>
        <v>36</v>
      </c>
      <c r="L97" s="138"/>
      <c r="M97" s="139" t="str">
        <f t="shared" ref="M97:M114" si="7">M57</f>
        <v>OB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>
        <f t="shared" si="6"/>
        <v>0</v>
      </c>
      <c r="C98" s="136"/>
      <c r="D98" s="136"/>
      <c r="E98" s="136"/>
      <c r="F98" s="136"/>
      <c r="G98" s="136"/>
      <c r="H98" s="137">
        <f t="shared" ref="H98:H114" si="9">H58</f>
        <v>14</v>
      </c>
      <c r="I98" s="137"/>
      <c r="J98" s="137"/>
      <c r="K98" s="138">
        <f t="shared" ref="K98:K114" si="10">K58</f>
        <v>984</v>
      </c>
      <c r="L98" s="138"/>
      <c r="M98" s="139" t="str">
        <f t="shared" si="7"/>
        <v>OI INW243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18</v>
      </c>
      <c r="I99" s="137"/>
      <c r="J99" s="137"/>
      <c r="K99" s="138">
        <f t="shared" si="10"/>
        <v>1239</v>
      </c>
      <c r="L99" s="138"/>
      <c r="M99" s="139" t="str">
        <f t="shared" si="7"/>
        <v>OI INW404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2</v>
      </c>
      <c r="I100" s="137"/>
      <c r="J100" s="137"/>
      <c r="K100" s="138">
        <f t="shared" si="10"/>
        <v>82</v>
      </c>
      <c r="L100" s="138"/>
      <c r="M100" s="139" t="str">
        <f t="shared" si="7"/>
        <v>OJ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2</v>
      </c>
      <c r="I101" s="137"/>
      <c r="J101" s="137"/>
      <c r="K101" s="138">
        <f t="shared" si="10"/>
        <v>90</v>
      </c>
      <c r="L101" s="138"/>
      <c r="M101" s="139" t="str">
        <f t="shared" si="7"/>
        <v>OK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58</v>
      </c>
      <c r="I115" s="156"/>
      <c r="J115" s="157"/>
      <c r="K115" s="158">
        <f>SUM(K95:L114)</f>
        <v>3752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>
        <f>D77</f>
        <v>0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01716-131215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DK0026284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NATROCONA NA 11-0049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O525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523765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Nippon Express Bangladesh Ltd.
Holding No: 1015/1
Gacha Road, Tongi, Gazipur,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AIR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317015-5828</v>
      </c>
      <c r="C135" s="146"/>
      <c r="D135" s="146"/>
      <c r="E135" s="146"/>
      <c r="F135" s="146"/>
      <c r="G135" s="146"/>
      <c r="H135" s="187">
        <f>H95</f>
        <v>15</v>
      </c>
      <c r="I135" s="188"/>
      <c r="J135" s="189"/>
      <c r="K135" s="190">
        <f>K95</f>
        <v>984</v>
      </c>
      <c r="L135" s="191"/>
      <c r="M135" s="133" t="str">
        <f>M95</f>
        <v>USW068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>
        <f>B96</f>
        <v>0</v>
      </c>
      <c r="C136" s="136"/>
      <c r="D136" s="136"/>
      <c r="E136" s="136"/>
      <c r="F136" s="136"/>
      <c r="G136" s="136"/>
      <c r="H136" s="179">
        <f>H96</f>
        <v>6</v>
      </c>
      <c r="I136" s="180"/>
      <c r="J136" s="181"/>
      <c r="K136" s="182">
        <f>K96</f>
        <v>337</v>
      </c>
      <c r="L136" s="183"/>
      <c r="M136" s="184" t="str">
        <f>M96</f>
        <v>USW305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>
        <f t="shared" si="12"/>
        <v>0</v>
      </c>
      <c r="C137" s="136"/>
      <c r="D137" s="136"/>
      <c r="E137" s="136"/>
      <c r="F137" s="136"/>
      <c r="G137" s="136"/>
      <c r="H137" s="179">
        <f>H97</f>
        <v>1</v>
      </c>
      <c r="I137" s="180"/>
      <c r="J137" s="181"/>
      <c r="K137" s="182">
        <f>K97</f>
        <v>36</v>
      </c>
      <c r="L137" s="183"/>
      <c r="M137" s="184" t="str">
        <f t="shared" ref="M137:M154" si="13">M97</f>
        <v>OB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>
        <f t="shared" si="12"/>
        <v>0</v>
      </c>
      <c r="C138" s="136"/>
      <c r="D138" s="136"/>
      <c r="E138" s="136"/>
      <c r="F138" s="136"/>
      <c r="G138" s="136"/>
      <c r="H138" s="179">
        <f t="shared" ref="H138:H154" si="15">H98</f>
        <v>14</v>
      </c>
      <c r="I138" s="180"/>
      <c r="J138" s="181"/>
      <c r="K138" s="182">
        <f t="shared" ref="K138:K154" si="16">K98</f>
        <v>984</v>
      </c>
      <c r="L138" s="183"/>
      <c r="M138" s="184" t="str">
        <f t="shared" si="13"/>
        <v>OI INW243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18</v>
      </c>
      <c r="I139" s="180"/>
      <c r="J139" s="181"/>
      <c r="K139" s="182">
        <f t="shared" si="16"/>
        <v>1239</v>
      </c>
      <c r="L139" s="183"/>
      <c r="M139" s="184" t="str">
        <f t="shared" si="13"/>
        <v>OI INW404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2</v>
      </c>
      <c r="I140" s="180"/>
      <c r="J140" s="181"/>
      <c r="K140" s="182">
        <f t="shared" si="16"/>
        <v>82</v>
      </c>
      <c r="L140" s="183"/>
      <c r="M140" s="184" t="str">
        <f t="shared" si="13"/>
        <v>OJ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2</v>
      </c>
      <c r="I141" s="180"/>
      <c r="J141" s="181"/>
      <c r="K141" s="182">
        <f t="shared" si="16"/>
        <v>90</v>
      </c>
      <c r="L141" s="183"/>
      <c r="M141" s="184" t="str">
        <f t="shared" si="13"/>
        <v>OK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58</v>
      </c>
      <c r="I155" s="195"/>
      <c r="J155" s="196"/>
      <c r="K155" s="158">
        <f>SUM(K135:L154)</f>
        <v>3752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>
        <f>D117</f>
        <v>0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01716-131215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DK0026284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NATROCONA NA 11-0049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C14:D14 C94:D94 C54:D54 C134:D134" xr:uid="{EDFCBE85-F05C-4BFE-A24A-546F46EBF228}">
      <formula1>$W$7:$W$161</formula1>
    </dataValidation>
    <dataValidation type="list" allowBlank="1" showInputMessage="1" showErrorMessage="1" sqref="L9:P11 L49:P51 L89:P91 L129:P131" xr:uid="{165FA056-5CFB-4416-A009-BAC1212E385F}">
      <formula1>Carrier</formula1>
    </dataValidation>
    <dataValidation type="list" allowBlank="1" showInputMessage="1" showErrorMessage="1" sqref="A8 A48 A88 A128" xr:uid="{6319EA27-0C14-4A22-969A-72FBA6A26956}">
      <formula1>$T$7:$T$35</formula1>
    </dataValidation>
    <dataValidation type="list" allowBlank="1" showInputMessage="1" showErrorMessage="1" sqref="L8:P8 L48:P48 L88:P88 L128:P128" xr:uid="{ACFB7484-5988-4E86-9176-378218AE1EEF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CAAB-E454-49C3-A054-1759B2DBC1EA}">
  <sheetPr>
    <tabColor rgb="FF00B050"/>
  </sheetPr>
  <dimension ref="A1:Y168"/>
  <sheetViews>
    <sheetView view="pageBreakPreview" topLeftCell="A28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178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232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190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147</v>
      </c>
      <c r="C15" s="146"/>
      <c r="D15" s="146"/>
      <c r="E15" s="146"/>
      <c r="F15" s="146"/>
      <c r="G15" s="146"/>
      <c r="H15" s="147">
        <v>46</v>
      </c>
      <c r="I15" s="148"/>
      <c r="J15" s="149"/>
      <c r="K15" s="150">
        <v>4830</v>
      </c>
      <c r="L15" s="151"/>
      <c r="M15" s="133" t="s">
        <v>191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192</v>
      </c>
      <c r="C16" s="136"/>
      <c r="D16" s="136"/>
      <c r="E16" s="136"/>
      <c r="F16" s="136"/>
      <c r="G16" s="136"/>
      <c r="H16" s="137">
        <v>31</v>
      </c>
      <c r="I16" s="137"/>
      <c r="J16" s="137"/>
      <c r="K16" s="138">
        <v>813</v>
      </c>
      <c r="L16" s="138"/>
      <c r="M16" s="139" t="s">
        <v>193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194</v>
      </c>
      <c r="C17" s="136"/>
      <c r="D17" s="136"/>
      <c r="E17" s="136"/>
      <c r="F17" s="136"/>
      <c r="G17" s="136"/>
      <c r="H17" s="137">
        <v>1</v>
      </c>
      <c r="I17" s="137"/>
      <c r="J17" s="137"/>
      <c r="K17" s="138">
        <v>31</v>
      </c>
      <c r="L17" s="138"/>
      <c r="M17" s="139" t="s">
        <v>174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195</v>
      </c>
      <c r="C18" s="136"/>
      <c r="D18" s="136"/>
      <c r="E18" s="136"/>
      <c r="F18" s="136"/>
      <c r="G18" s="136"/>
      <c r="H18" s="137">
        <v>8</v>
      </c>
      <c r="I18" s="137"/>
      <c r="J18" s="137"/>
      <c r="K18" s="138">
        <v>344</v>
      </c>
      <c r="L18" s="138"/>
      <c r="M18" s="139" t="s">
        <v>196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197</v>
      </c>
      <c r="C19" s="136"/>
      <c r="D19" s="136"/>
      <c r="E19" s="136"/>
      <c r="F19" s="136"/>
      <c r="G19" s="136"/>
      <c r="H19" s="137">
        <v>1</v>
      </c>
      <c r="I19" s="137"/>
      <c r="J19" s="137"/>
      <c r="K19" s="138">
        <v>10</v>
      </c>
      <c r="L19" s="138"/>
      <c r="M19" s="139" t="s">
        <v>198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199</v>
      </c>
      <c r="C20" s="136"/>
      <c r="D20" s="136"/>
      <c r="E20" s="136"/>
      <c r="F20" s="136"/>
      <c r="G20" s="136"/>
      <c r="H20" s="137">
        <v>2</v>
      </c>
      <c r="I20" s="137"/>
      <c r="J20" s="137"/>
      <c r="K20" s="138">
        <v>79</v>
      </c>
      <c r="L20" s="138"/>
      <c r="M20" s="152" t="s">
        <v>200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201</v>
      </c>
      <c r="C21" s="136"/>
      <c r="D21" s="136"/>
      <c r="E21" s="136"/>
      <c r="F21" s="136"/>
      <c r="G21" s="136"/>
      <c r="H21" s="137">
        <v>2</v>
      </c>
      <c r="I21" s="137"/>
      <c r="J21" s="137"/>
      <c r="K21" s="138">
        <v>57</v>
      </c>
      <c r="L21" s="138"/>
      <c r="M21" s="139" t="s">
        <v>202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 t="s">
        <v>203</v>
      </c>
      <c r="C22" s="136"/>
      <c r="D22" s="136"/>
      <c r="E22" s="136"/>
      <c r="F22" s="136"/>
      <c r="G22" s="136"/>
      <c r="H22" s="137">
        <v>1</v>
      </c>
      <c r="I22" s="137"/>
      <c r="J22" s="137"/>
      <c r="K22" s="138">
        <v>11</v>
      </c>
      <c r="L22" s="138"/>
      <c r="M22" s="139" t="s">
        <v>202</v>
      </c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 t="s">
        <v>204</v>
      </c>
      <c r="C23" s="136"/>
      <c r="D23" s="136"/>
      <c r="E23" s="136"/>
      <c r="F23" s="136"/>
      <c r="G23" s="136"/>
      <c r="H23" s="137">
        <v>32</v>
      </c>
      <c r="I23" s="137"/>
      <c r="J23" s="137"/>
      <c r="K23" s="138">
        <v>2650</v>
      </c>
      <c r="L23" s="138"/>
      <c r="M23" s="139" t="s">
        <v>205</v>
      </c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 t="s">
        <v>206</v>
      </c>
      <c r="C24" s="136"/>
      <c r="D24" s="136"/>
      <c r="E24" s="136"/>
      <c r="F24" s="136"/>
      <c r="G24" s="136"/>
      <c r="H24" s="137">
        <v>3</v>
      </c>
      <c r="I24" s="137"/>
      <c r="J24" s="137"/>
      <c r="K24" s="138">
        <v>94</v>
      </c>
      <c r="L24" s="138"/>
      <c r="M24" s="139" t="s">
        <v>200</v>
      </c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 t="s">
        <v>207</v>
      </c>
      <c r="C25" s="136"/>
      <c r="D25" s="136"/>
      <c r="E25" s="136"/>
      <c r="F25" s="136"/>
      <c r="G25" s="136"/>
      <c r="H25" s="137">
        <v>2</v>
      </c>
      <c r="I25" s="137"/>
      <c r="J25" s="137"/>
      <c r="K25" s="138">
        <v>37</v>
      </c>
      <c r="L25" s="138"/>
      <c r="M25" s="139" t="s">
        <v>200</v>
      </c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 t="s">
        <v>208</v>
      </c>
      <c r="C26" s="136"/>
      <c r="D26" s="136"/>
      <c r="E26" s="136"/>
      <c r="F26" s="136"/>
      <c r="G26" s="136"/>
      <c r="H26" s="137">
        <v>5</v>
      </c>
      <c r="I26" s="137"/>
      <c r="J26" s="137"/>
      <c r="K26" s="138">
        <v>247</v>
      </c>
      <c r="L26" s="138"/>
      <c r="M26" s="139" t="s">
        <v>196</v>
      </c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 t="s">
        <v>209</v>
      </c>
      <c r="C27" s="136"/>
      <c r="D27" s="136"/>
      <c r="E27" s="136"/>
      <c r="F27" s="136"/>
      <c r="G27" s="136"/>
      <c r="H27" s="137">
        <v>1</v>
      </c>
      <c r="I27" s="137"/>
      <c r="J27" s="137"/>
      <c r="K27" s="138">
        <v>58</v>
      </c>
      <c r="L27" s="138"/>
      <c r="M27" s="139" t="s">
        <v>210</v>
      </c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 t="s">
        <v>211</v>
      </c>
      <c r="C28" s="136"/>
      <c r="D28" s="136"/>
      <c r="E28" s="136"/>
      <c r="F28" s="136"/>
      <c r="G28" s="136"/>
      <c r="H28" s="137">
        <v>7</v>
      </c>
      <c r="I28" s="137"/>
      <c r="J28" s="137"/>
      <c r="K28" s="138">
        <v>478</v>
      </c>
      <c r="L28" s="138"/>
      <c r="M28" s="139" t="s">
        <v>212</v>
      </c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 t="s">
        <v>213</v>
      </c>
      <c r="C29" s="136"/>
      <c r="D29" s="136"/>
      <c r="E29" s="136"/>
      <c r="F29" s="136"/>
      <c r="G29" s="136"/>
      <c r="H29" s="137">
        <v>9</v>
      </c>
      <c r="I29" s="137"/>
      <c r="J29" s="137"/>
      <c r="K29" s="138">
        <v>683</v>
      </c>
      <c r="L29" s="138"/>
      <c r="M29" s="139" t="s">
        <v>212</v>
      </c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 t="s">
        <v>117</v>
      </c>
      <c r="C30" s="136"/>
      <c r="D30" s="136"/>
      <c r="E30" s="136"/>
      <c r="F30" s="136"/>
      <c r="G30" s="136"/>
      <c r="H30" s="137">
        <v>5</v>
      </c>
      <c r="I30" s="137"/>
      <c r="J30" s="137"/>
      <c r="K30" s="138">
        <v>423</v>
      </c>
      <c r="L30" s="138"/>
      <c r="M30" s="139" t="s">
        <v>163</v>
      </c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 t="s">
        <v>214</v>
      </c>
      <c r="C31" s="136"/>
      <c r="D31" s="136"/>
      <c r="E31" s="136"/>
      <c r="F31" s="136"/>
      <c r="G31" s="136"/>
      <c r="H31" s="137">
        <v>1</v>
      </c>
      <c r="I31" s="137"/>
      <c r="J31" s="137"/>
      <c r="K31" s="138">
        <v>13</v>
      </c>
      <c r="L31" s="138"/>
      <c r="M31" s="139" t="s">
        <v>193</v>
      </c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 t="s">
        <v>215</v>
      </c>
      <c r="C32" s="136"/>
      <c r="D32" s="136"/>
      <c r="E32" s="136"/>
      <c r="F32" s="136"/>
      <c r="G32" s="136"/>
      <c r="H32" s="137">
        <v>2</v>
      </c>
      <c r="I32" s="137"/>
      <c r="J32" s="137"/>
      <c r="K32" s="138">
        <v>43</v>
      </c>
      <c r="L32" s="138"/>
      <c r="M32" s="139" t="s">
        <v>200</v>
      </c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>
        <v>3253785832</v>
      </c>
      <c r="C33" s="136"/>
      <c r="D33" s="136"/>
      <c r="E33" s="136"/>
      <c r="F33" s="136"/>
      <c r="G33" s="136"/>
      <c r="H33" s="137">
        <v>3</v>
      </c>
      <c r="I33" s="137"/>
      <c r="J33" s="137"/>
      <c r="K33" s="138">
        <v>134</v>
      </c>
      <c r="L33" s="138"/>
      <c r="M33" s="139" t="s">
        <v>216</v>
      </c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 t="s">
        <v>217</v>
      </c>
      <c r="C34" s="136"/>
      <c r="D34" s="136"/>
      <c r="E34" s="136"/>
      <c r="F34" s="136"/>
      <c r="G34" s="136"/>
      <c r="H34" s="137">
        <v>39</v>
      </c>
      <c r="I34" s="137"/>
      <c r="J34" s="137"/>
      <c r="K34" s="138">
        <v>1100</v>
      </c>
      <c r="L34" s="138"/>
      <c r="M34" s="139" t="s">
        <v>205</v>
      </c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201</v>
      </c>
      <c r="I35" s="156"/>
      <c r="J35" s="157"/>
      <c r="K35" s="158">
        <f>SUM(K15:L34)</f>
        <v>12135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235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234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>
        <v>1191083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233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O526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523763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Summit Alliance Port Ltd. (SAPL).
Katghar, South Patenga, Chattogram.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1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318268-5832</v>
      </c>
      <c r="C55" s="146"/>
      <c r="D55" s="146"/>
      <c r="E55" s="146"/>
      <c r="F55" s="146"/>
      <c r="G55" s="146"/>
      <c r="H55" s="147">
        <f>H15</f>
        <v>46</v>
      </c>
      <c r="I55" s="148"/>
      <c r="J55" s="149"/>
      <c r="K55" s="150">
        <f>K15</f>
        <v>4830</v>
      </c>
      <c r="L55" s="151"/>
      <c r="M55" s="133" t="str">
        <f>M15</f>
        <v>BE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992979-3932</v>
      </c>
      <c r="C56" s="136"/>
      <c r="D56" s="136"/>
      <c r="E56" s="136"/>
      <c r="F56" s="136"/>
      <c r="G56" s="136"/>
      <c r="H56" s="137">
        <f>H16</f>
        <v>31</v>
      </c>
      <c r="I56" s="137"/>
      <c r="J56" s="137"/>
      <c r="K56" s="138">
        <f>K16</f>
        <v>813</v>
      </c>
      <c r="L56" s="138"/>
      <c r="M56" s="139" t="str">
        <f t="shared" ref="M56:M74" si="0">M16</f>
        <v>AU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290560-5832</v>
      </c>
      <c r="C57" s="136"/>
      <c r="D57" s="136"/>
      <c r="E57" s="136"/>
      <c r="F57" s="136"/>
      <c r="G57" s="136"/>
      <c r="H57" s="137">
        <f>H17</f>
        <v>1</v>
      </c>
      <c r="I57" s="137"/>
      <c r="J57" s="137"/>
      <c r="K57" s="138">
        <f>K17</f>
        <v>31</v>
      </c>
      <c r="L57" s="138"/>
      <c r="M57" s="139" t="str">
        <f t="shared" si="0"/>
        <v>OJ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290659-5832</v>
      </c>
      <c r="C58" s="136"/>
      <c r="D58" s="136"/>
      <c r="E58" s="136"/>
      <c r="F58" s="136"/>
      <c r="G58" s="136"/>
      <c r="H58" s="137">
        <f t="shared" ref="H58:H74" si="3">H18</f>
        <v>8</v>
      </c>
      <c r="I58" s="137"/>
      <c r="J58" s="137"/>
      <c r="K58" s="138">
        <f t="shared" ref="K58:K74" si="4">K18</f>
        <v>344</v>
      </c>
      <c r="L58" s="138"/>
      <c r="M58" s="139" t="str">
        <f t="shared" si="0"/>
        <v>JP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285445-5832</v>
      </c>
      <c r="C59" s="136"/>
      <c r="D59" s="136"/>
      <c r="E59" s="136"/>
      <c r="F59" s="136"/>
      <c r="G59" s="136"/>
      <c r="H59" s="137">
        <f t="shared" si="3"/>
        <v>1</v>
      </c>
      <c r="I59" s="137"/>
      <c r="J59" s="137"/>
      <c r="K59" s="138">
        <f t="shared" si="4"/>
        <v>10</v>
      </c>
      <c r="L59" s="138"/>
      <c r="M59" s="139" t="str">
        <f t="shared" si="0"/>
        <v>OO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300623-5832</v>
      </c>
      <c r="C60" s="136"/>
      <c r="D60" s="136"/>
      <c r="E60" s="136"/>
      <c r="F60" s="136"/>
      <c r="G60" s="136"/>
      <c r="H60" s="137">
        <f t="shared" si="3"/>
        <v>2</v>
      </c>
      <c r="I60" s="137"/>
      <c r="J60" s="137"/>
      <c r="K60" s="138">
        <f t="shared" si="4"/>
        <v>79</v>
      </c>
      <c r="L60" s="138"/>
      <c r="M60" s="139" t="str">
        <f t="shared" si="0"/>
        <v>OO,OJ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267089-5828</v>
      </c>
      <c r="C61" s="136"/>
      <c r="D61" s="136"/>
      <c r="E61" s="136"/>
      <c r="F61" s="136"/>
      <c r="G61" s="136"/>
      <c r="H61" s="137">
        <f t="shared" si="3"/>
        <v>2</v>
      </c>
      <c r="I61" s="137"/>
      <c r="J61" s="137"/>
      <c r="K61" s="138">
        <f t="shared" si="4"/>
        <v>57</v>
      </c>
      <c r="L61" s="138"/>
      <c r="M61" s="139" t="str">
        <f t="shared" si="0"/>
        <v>HK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 t="str">
        <f t="shared" si="1"/>
        <v>266270-5828</v>
      </c>
      <c r="C62" s="136"/>
      <c r="D62" s="136"/>
      <c r="E62" s="136"/>
      <c r="F62" s="136"/>
      <c r="G62" s="136"/>
      <c r="H62" s="137">
        <f t="shared" si="3"/>
        <v>1</v>
      </c>
      <c r="I62" s="137"/>
      <c r="J62" s="137"/>
      <c r="K62" s="138">
        <f t="shared" si="4"/>
        <v>11</v>
      </c>
      <c r="L62" s="138"/>
      <c r="M62" s="139" t="str">
        <f t="shared" si="0"/>
        <v>HK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 t="str">
        <f t="shared" si="1"/>
        <v>996537-5832</v>
      </c>
      <c r="C63" s="136"/>
      <c r="D63" s="136"/>
      <c r="E63" s="136"/>
      <c r="F63" s="136"/>
      <c r="G63" s="136"/>
      <c r="H63" s="137">
        <f t="shared" si="3"/>
        <v>32</v>
      </c>
      <c r="I63" s="137"/>
      <c r="J63" s="137"/>
      <c r="K63" s="138">
        <f t="shared" si="4"/>
        <v>2650</v>
      </c>
      <c r="L63" s="138"/>
      <c r="M63" s="139" t="str">
        <f t="shared" si="0"/>
        <v>CL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 t="str">
        <f t="shared" si="1"/>
        <v>300624-5832</v>
      </c>
      <c r="C64" s="136"/>
      <c r="D64" s="136"/>
      <c r="E64" s="136"/>
      <c r="F64" s="136"/>
      <c r="G64" s="136"/>
      <c r="H64" s="137">
        <f t="shared" si="3"/>
        <v>3</v>
      </c>
      <c r="I64" s="137"/>
      <c r="J64" s="137"/>
      <c r="K64" s="138">
        <f t="shared" si="4"/>
        <v>94</v>
      </c>
      <c r="L64" s="138"/>
      <c r="M64" s="139" t="str">
        <f t="shared" si="0"/>
        <v>OO,OJ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 t="str">
        <f t="shared" si="1"/>
        <v>300625-5832</v>
      </c>
      <c r="C65" s="136"/>
      <c r="D65" s="136"/>
      <c r="E65" s="136"/>
      <c r="F65" s="136"/>
      <c r="G65" s="136"/>
      <c r="H65" s="137">
        <f t="shared" si="3"/>
        <v>2</v>
      </c>
      <c r="I65" s="137"/>
      <c r="J65" s="137"/>
      <c r="K65" s="138">
        <f t="shared" si="4"/>
        <v>37</v>
      </c>
      <c r="L65" s="138"/>
      <c r="M65" s="139" t="str">
        <f t="shared" si="0"/>
        <v>OO,OJ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 t="str">
        <f t="shared" si="1"/>
        <v>300633-5832</v>
      </c>
      <c r="C66" s="136"/>
      <c r="D66" s="136"/>
      <c r="E66" s="136"/>
      <c r="F66" s="136"/>
      <c r="G66" s="136"/>
      <c r="H66" s="137">
        <f t="shared" si="3"/>
        <v>5</v>
      </c>
      <c r="I66" s="137"/>
      <c r="J66" s="137"/>
      <c r="K66" s="138">
        <f t="shared" si="4"/>
        <v>247</v>
      </c>
      <c r="L66" s="138"/>
      <c r="M66" s="139" t="str">
        <f t="shared" si="0"/>
        <v>JP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 t="str">
        <f t="shared" si="1"/>
        <v>323659-5832</v>
      </c>
      <c r="C67" s="136"/>
      <c r="D67" s="136"/>
      <c r="E67" s="136"/>
      <c r="F67" s="136"/>
      <c r="G67" s="136"/>
      <c r="H67" s="137">
        <f t="shared" si="3"/>
        <v>1</v>
      </c>
      <c r="I67" s="137"/>
      <c r="J67" s="137"/>
      <c r="K67" s="138">
        <f t="shared" si="4"/>
        <v>58</v>
      </c>
      <c r="L67" s="138"/>
      <c r="M67" s="139" t="str">
        <f t="shared" si="0"/>
        <v>OFITW128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 t="str">
        <f t="shared" si="1"/>
        <v>318814-7952</v>
      </c>
      <c r="C68" s="136"/>
      <c r="D68" s="136"/>
      <c r="E68" s="136"/>
      <c r="F68" s="136"/>
      <c r="G68" s="136"/>
      <c r="H68" s="137">
        <f t="shared" si="3"/>
        <v>7</v>
      </c>
      <c r="I68" s="137"/>
      <c r="J68" s="137"/>
      <c r="K68" s="138">
        <f t="shared" si="4"/>
        <v>478</v>
      </c>
      <c r="L68" s="138"/>
      <c r="M68" s="139" t="str">
        <f t="shared" si="0"/>
        <v>TR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 t="str">
        <f t="shared" si="1"/>
        <v>306973-5828</v>
      </c>
      <c r="C69" s="136"/>
      <c r="D69" s="136"/>
      <c r="E69" s="136"/>
      <c r="F69" s="136"/>
      <c r="G69" s="136"/>
      <c r="H69" s="137">
        <f t="shared" si="3"/>
        <v>9</v>
      </c>
      <c r="I69" s="137"/>
      <c r="J69" s="137"/>
      <c r="K69" s="138">
        <f t="shared" si="4"/>
        <v>683</v>
      </c>
      <c r="L69" s="138"/>
      <c r="M69" s="139" t="str">
        <f t="shared" si="0"/>
        <v>TR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 t="str">
        <f t="shared" si="1"/>
        <v>323673-5832</v>
      </c>
      <c r="C70" s="136"/>
      <c r="D70" s="136"/>
      <c r="E70" s="136"/>
      <c r="F70" s="136"/>
      <c r="G70" s="136"/>
      <c r="H70" s="137">
        <f t="shared" si="3"/>
        <v>5</v>
      </c>
      <c r="I70" s="137"/>
      <c r="J70" s="137"/>
      <c r="K70" s="138">
        <f t="shared" si="4"/>
        <v>423</v>
      </c>
      <c r="L70" s="138"/>
      <c r="M70" s="139" t="str">
        <f t="shared" si="0"/>
        <v>OT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 t="str">
        <f t="shared" si="1"/>
        <v>980812-1643</v>
      </c>
      <c r="C71" s="136"/>
      <c r="D71" s="136"/>
      <c r="E71" s="136"/>
      <c r="F71" s="136"/>
      <c r="G71" s="136"/>
      <c r="H71" s="137">
        <f t="shared" si="3"/>
        <v>1</v>
      </c>
      <c r="I71" s="137"/>
      <c r="J71" s="137"/>
      <c r="K71" s="138">
        <f t="shared" si="4"/>
        <v>13</v>
      </c>
      <c r="L71" s="138"/>
      <c r="M71" s="139" t="str">
        <f t="shared" si="0"/>
        <v>AU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 t="str">
        <f t="shared" si="1"/>
        <v>296214-5832</v>
      </c>
      <c r="C72" s="136"/>
      <c r="D72" s="136"/>
      <c r="E72" s="136"/>
      <c r="F72" s="136"/>
      <c r="G72" s="136"/>
      <c r="H72" s="137">
        <f t="shared" si="3"/>
        <v>2</v>
      </c>
      <c r="I72" s="137"/>
      <c r="J72" s="137"/>
      <c r="K72" s="138">
        <f t="shared" si="4"/>
        <v>43</v>
      </c>
      <c r="L72" s="138"/>
      <c r="M72" s="139" t="str">
        <f t="shared" si="0"/>
        <v>OO,OJ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3253785832</v>
      </c>
      <c r="C73" s="136"/>
      <c r="D73" s="136"/>
      <c r="E73" s="136"/>
      <c r="F73" s="136"/>
      <c r="G73" s="136"/>
      <c r="H73" s="137">
        <f t="shared" si="3"/>
        <v>3</v>
      </c>
      <c r="I73" s="137"/>
      <c r="J73" s="137"/>
      <c r="K73" s="138">
        <f t="shared" si="4"/>
        <v>134</v>
      </c>
      <c r="L73" s="138"/>
      <c r="M73" s="139" t="str">
        <f t="shared" si="0"/>
        <v>LH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 t="str">
        <f t="shared" si="5"/>
        <v>993662-7952</v>
      </c>
      <c r="C74" s="136"/>
      <c r="D74" s="136"/>
      <c r="E74" s="136"/>
      <c r="F74" s="136"/>
      <c r="G74" s="136"/>
      <c r="H74" s="137">
        <f t="shared" si="3"/>
        <v>39</v>
      </c>
      <c r="I74" s="137"/>
      <c r="J74" s="137"/>
      <c r="K74" s="138">
        <f t="shared" si="4"/>
        <v>1100</v>
      </c>
      <c r="L74" s="138"/>
      <c r="M74" s="139" t="str">
        <f t="shared" si="0"/>
        <v>CL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201</v>
      </c>
      <c r="I75" s="156"/>
      <c r="J75" s="157"/>
      <c r="K75" s="158">
        <f>SUM(K55:L74)</f>
        <v>12135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MD.VASANI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01815-365211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>
        <f>D38</f>
        <v>1191083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C.M.TA 11-8410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O526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523763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Summit Alliance Port Ltd. (SAPL).
Katghar, South Patenga, Chattogram.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1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318268-5832</v>
      </c>
      <c r="C95" s="146"/>
      <c r="D95" s="146"/>
      <c r="E95" s="146"/>
      <c r="F95" s="146"/>
      <c r="G95" s="146"/>
      <c r="H95" s="147">
        <f>H55</f>
        <v>46</v>
      </c>
      <c r="I95" s="148"/>
      <c r="J95" s="149"/>
      <c r="K95" s="150">
        <f>K55</f>
        <v>4830</v>
      </c>
      <c r="L95" s="151"/>
      <c r="M95" s="133" t="str">
        <f>M55</f>
        <v>BE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992979-3932</v>
      </c>
      <c r="C96" s="136"/>
      <c r="D96" s="136"/>
      <c r="E96" s="136"/>
      <c r="F96" s="136"/>
      <c r="G96" s="136"/>
      <c r="H96" s="137">
        <f>H56</f>
        <v>31</v>
      </c>
      <c r="I96" s="137"/>
      <c r="J96" s="137"/>
      <c r="K96" s="138">
        <f>K56</f>
        <v>813</v>
      </c>
      <c r="L96" s="138"/>
      <c r="M96" s="139" t="str">
        <f>M56</f>
        <v>AU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290560-5832</v>
      </c>
      <c r="C97" s="136"/>
      <c r="D97" s="136"/>
      <c r="E97" s="136"/>
      <c r="F97" s="136"/>
      <c r="G97" s="136"/>
      <c r="H97" s="137">
        <f>H57</f>
        <v>1</v>
      </c>
      <c r="I97" s="137"/>
      <c r="J97" s="137"/>
      <c r="K97" s="138">
        <f>K57</f>
        <v>31</v>
      </c>
      <c r="L97" s="138"/>
      <c r="M97" s="139" t="str">
        <f t="shared" ref="M97:M114" si="7">M57</f>
        <v>OJ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290659-5832</v>
      </c>
      <c r="C98" s="136"/>
      <c r="D98" s="136"/>
      <c r="E98" s="136"/>
      <c r="F98" s="136"/>
      <c r="G98" s="136"/>
      <c r="H98" s="137">
        <f t="shared" ref="H98:H114" si="9">H58</f>
        <v>8</v>
      </c>
      <c r="I98" s="137"/>
      <c r="J98" s="137"/>
      <c r="K98" s="138">
        <f t="shared" ref="K98:K114" si="10">K58</f>
        <v>344</v>
      </c>
      <c r="L98" s="138"/>
      <c r="M98" s="139" t="str">
        <f t="shared" si="7"/>
        <v>JP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285445-5832</v>
      </c>
      <c r="C99" s="136"/>
      <c r="D99" s="136"/>
      <c r="E99" s="136"/>
      <c r="F99" s="136"/>
      <c r="G99" s="136"/>
      <c r="H99" s="137">
        <f t="shared" si="9"/>
        <v>1</v>
      </c>
      <c r="I99" s="137"/>
      <c r="J99" s="137"/>
      <c r="K99" s="138">
        <f t="shared" si="10"/>
        <v>10</v>
      </c>
      <c r="L99" s="138"/>
      <c r="M99" s="139" t="str">
        <f t="shared" si="7"/>
        <v>OO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300623-5832</v>
      </c>
      <c r="C100" s="136"/>
      <c r="D100" s="136"/>
      <c r="E100" s="136"/>
      <c r="F100" s="136"/>
      <c r="G100" s="136"/>
      <c r="H100" s="137">
        <f t="shared" si="9"/>
        <v>2</v>
      </c>
      <c r="I100" s="137"/>
      <c r="J100" s="137"/>
      <c r="K100" s="138">
        <f t="shared" si="10"/>
        <v>79</v>
      </c>
      <c r="L100" s="138"/>
      <c r="M100" s="139" t="str">
        <f t="shared" si="7"/>
        <v>OO,OJ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267089-5828</v>
      </c>
      <c r="C101" s="136"/>
      <c r="D101" s="136"/>
      <c r="E101" s="136"/>
      <c r="F101" s="136"/>
      <c r="G101" s="136"/>
      <c r="H101" s="137">
        <f t="shared" si="9"/>
        <v>2</v>
      </c>
      <c r="I101" s="137"/>
      <c r="J101" s="137"/>
      <c r="K101" s="138">
        <f t="shared" si="10"/>
        <v>57</v>
      </c>
      <c r="L101" s="138"/>
      <c r="M101" s="139" t="str">
        <f t="shared" si="7"/>
        <v>HK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 t="str">
        <f t="shared" si="6"/>
        <v>266270-5828</v>
      </c>
      <c r="C102" s="136"/>
      <c r="D102" s="136"/>
      <c r="E102" s="136"/>
      <c r="F102" s="136"/>
      <c r="G102" s="136"/>
      <c r="H102" s="137">
        <f t="shared" si="9"/>
        <v>1</v>
      </c>
      <c r="I102" s="137"/>
      <c r="J102" s="137"/>
      <c r="K102" s="138">
        <f t="shared" si="10"/>
        <v>11</v>
      </c>
      <c r="L102" s="138"/>
      <c r="M102" s="139" t="str">
        <f t="shared" si="7"/>
        <v>HK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 t="str">
        <f t="shared" si="6"/>
        <v>996537-5832</v>
      </c>
      <c r="C103" s="136"/>
      <c r="D103" s="136"/>
      <c r="E103" s="136"/>
      <c r="F103" s="136"/>
      <c r="G103" s="136"/>
      <c r="H103" s="137">
        <f t="shared" si="9"/>
        <v>32</v>
      </c>
      <c r="I103" s="137"/>
      <c r="J103" s="137"/>
      <c r="K103" s="138">
        <f t="shared" si="10"/>
        <v>2650</v>
      </c>
      <c r="L103" s="138"/>
      <c r="M103" s="139" t="str">
        <f t="shared" si="7"/>
        <v>CL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 t="str">
        <f t="shared" si="6"/>
        <v>300624-5832</v>
      </c>
      <c r="C104" s="136"/>
      <c r="D104" s="136"/>
      <c r="E104" s="136"/>
      <c r="F104" s="136"/>
      <c r="G104" s="136"/>
      <c r="H104" s="137">
        <f t="shared" si="9"/>
        <v>3</v>
      </c>
      <c r="I104" s="137"/>
      <c r="J104" s="137"/>
      <c r="K104" s="138">
        <f t="shared" si="10"/>
        <v>94</v>
      </c>
      <c r="L104" s="138"/>
      <c r="M104" s="139" t="str">
        <f t="shared" si="7"/>
        <v>OO,OJ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 t="str">
        <f t="shared" si="6"/>
        <v>300625-5832</v>
      </c>
      <c r="C105" s="136"/>
      <c r="D105" s="136"/>
      <c r="E105" s="136"/>
      <c r="F105" s="136"/>
      <c r="G105" s="136"/>
      <c r="H105" s="137">
        <f t="shared" si="9"/>
        <v>2</v>
      </c>
      <c r="I105" s="137"/>
      <c r="J105" s="137"/>
      <c r="K105" s="138">
        <f t="shared" si="10"/>
        <v>37</v>
      </c>
      <c r="L105" s="138"/>
      <c r="M105" s="139" t="str">
        <f t="shared" si="7"/>
        <v>OO,OJ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 t="str">
        <f t="shared" si="6"/>
        <v>300633-5832</v>
      </c>
      <c r="C106" s="136"/>
      <c r="D106" s="136"/>
      <c r="E106" s="136"/>
      <c r="F106" s="136"/>
      <c r="G106" s="136"/>
      <c r="H106" s="137">
        <f t="shared" si="9"/>
        <v>5</v>
      </c>
      <c r="I106" s="137"/>
      <c r="J106" s="137"/>
      <c r="K106" s="138">
        <f t="shared" si="10"/>
        <v>247</v>
      </c>
      <c r="L106" s="138"/>
      <c r="M106" s="139" t="str">
        <f t="shared" si="7"/>
        <v>JP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 t="str">
        <f t="shared" si="6"/>
        <v>323659-5832</v>
      </c>
      <c r="C107" s="136"/>
      <c r="D107" s="136"/>
      <c r="E107" s="136"/>
      <c r="F107" s="136"/>
      <c r="G107" s="136"/>
      <c r="H107" s="137">
        <f t="shared" si="9"/>
        <v>1</v>
      </c>
      <c r="I107" s="137"/>
      <c r="J107" s="137"/>
      <c r="K107" s="138">
        <f t="shared" si="10"/>
        <v>58</v>
      </c>
      <c r="L107" s="138"/>
      <c r="M107" s="139" t="str">
        <f t="shared" si="7"/>
        <v>OFITW128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 t="str">
        <f t="shared" si="6"/>
        <v>318814-7952</v>
      </c>
      <c r="C108" s="136"/>
      <c r="D108" s="136"/>
      <c r="E108" s="136"/>
      <c r="F108" s="136"/>
      <c r="G108" s="136"/>
      <c r="H108" s="137">
        <f t="shared" si="9"/>
        <v>7</v>
      </c>
      <c r="I108" s="137"/>
      <c r="J108" s="137"/>
      <c r="K108" s="138">
        <f t="shared" si="10"/>
        <v>478</v>
      </c>
      <c r="L108" s="138"/>
      <c r="M108" s="139" t="str">
        <f t="shared" si="7"/>
        <v>TR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 t="str">
        <f t="shared" si="6"/>
        <v>306973-5828</v>
      </c>
      <c r="C109" s="136"/>
      <c r="D109" s="136"/>
      <c r="E109" s="136"/>
      <c r="F109" s="136"/>
      <c r="G109" s="136"/>
      <c r="H109" s="137">
        <f t="shared" si="9"/>
        <v>9</v>
      </c>
      <c r="I109" s="137"/>
      <c r="J109" s="137"/>
      <c r="K109" s="138">
        <f t="shared" si="10"/>
        <v>683</v>
      </c>
      <c r="L109" s="138"/>
      <c r="M109" s="139" t="str">
        <f t="shared" si="7"/>
        <v>TR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 t="str">
        <f t="shared" si="6"/>
        <v>323673-5832</v>
      </c>
      <c r="C110" s="136"/>
      <c r="D110" s="136"/>
      <c r="E110" s="136"/>
      <c r="F110" s="136"/>
      <c r="G110" s="136"/>
      <c r="H110" s="137">
        <f t="shared" si="9"/>
        <v>5</v>
      </c>
      <c r="I110" s="137"/>
      <c r="J110" s="137"/>
      <c r="K110" s="138">
        <f t="shared" si="10"/>
        <v>423</v>
      </c>
      <c r="L110" s="138"/>
      <c r="M110" s="139" t="str">
        <f t="shared" si="7"/>
        <v>OT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 t="str">
        <f t="shared" si="6"/>
        <v>980812-1643</v>
      </c>
      <c r="C111" s="136"/>
      <c r="D111" s="136"/>
      <c r="E111" s="136"/>
      <c r="F111" s="136"/>
      <c r="G111" s="136"/>
      <c r="H111" s="137">
        <f t="shared" si="9"/>
        <v>1</v>
      </c>
      <c r="I111" s="137"/>
      <c r="J111" s="137"/>
      <c r="K111" s="138">
        <f t="shared" si="10"/>
        <v>13</v>
      </c>
      <c r="L111" s="138"/>
      <c r="M111" s="139" t="str">
        <f t="shared" si="7"/>
        <v>AU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 t="str">
        <f t="shared" si="6"/>
        <v>296214-5832</v>
      </c>
      <c r="C112" s="136"/>
      <c r="D112" s="136"/>
      <c r="E112" s="136"/>
      <c r="F112" s="136"/>
      <c r="G112" s="136"/>
      <c r="H112" s="137">
        <f t="shared" si="9"/>
        <v>2</v>
      </c>
      <c r="I112" s="137"/>
      <c r="J112" s="137"/>
      <c r="K112" s="138">
        <f t="shared" si="10"/>
        <v>43</v>
      </c>
      <c r="L112" s="138"/>
      <c r="M112" s="139" t="str">
        <f t="shared" si="7"/>
        <v>OO,OJ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3253785832</v>
      </c>
      <c r="C113" s="136"/>
      <c r="D113" s="136"/>
      <c r="E113" s="136"/>
      <c r="F113" s="136"/>
      <c r="G113" s="136"/>
      <c r="H113" s="137">
        <f t="shared" si="9"/>
        <v>3</v>
      </c>
      <c r="I113" s="137"/>
      <c r="J113" s="137"/>
      <c r="K113" s="138">
        <f t="shared" si="10"/>
        <v>134</v>
      </c>
      <c r="L113" s="138"/>
      <c r="M113" s="139" t="str">
        <f t="shared" si="7"/>
        <v>LH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 t="str">
        <f t="shared" si="11"/>
        <v>993662-7952</v>
      </c>
      <c r="C114" s="136"/>
      <c r="D114" s="136"/>
      <c r="E114" s="136"/>
      <c r="F114" s="136"/>
      <c r="G114" s="136"/>
      <c r="H114" s="137">
        <f t="shared" si="9"/>
        <v>39</v>
      </c>
      <c r="I114" s="137"/>
      <c r="J114" s="137"/>
      <c r="K114" s="138">
        <f t="shared" si="10"/>
        <v>1100</v>
      </c>
      <c r="L114" s="138"/>
      <c r="M114" s="139" t="str">
        <f t="shared" si="7"/>
        <v>CL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201</v>
      </c>
      <c r="I115" s="156"/>
      <c r="J115" s="157"/>
      <c r="K115" s="158">
        <f>SUM(K95:L114)</f>
        <v>12135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MD.VASANI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01815-365211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>
        <f>D78</f>
        <v>1191083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C.M.TA 11-8410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O526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523763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Summit Alliance Port Ltd. (SAPL).
Katghar, South Patenga, Chattogram.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1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318268-5832</v>
      </c>
      <c r="C135" s="146"/>
      <c r="D135" s="146"/>
      <c r="E135" s="146"/>
      <c r="F135" s="146"/>
      <c r="G135" s="146"/>
      <c r="H135" s="187">
        <f>H95</f>
        <v>46</v>
      </c>
      <c r="I135" s="188"/>
      <c r="J135" s="189"/>
      <c r="K135" s="190">
        <f>K95</f>
        <v>4830</v>
      </c>
      <c r="L135" s="191"/>
      <c r="M135" s="133" t="str">
        <f>M95</f>
        <v>BE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992979-3932</v>
      </c>
      <c r="C136" s="136"/>
      <c r="D136" s="136"/>
      <c r="E136" s="136"/>
      <c r="F136" s="136"/>
      <c r="G136" s="136"/>
      <c r="H136" s="179">
        <f>H96</f>
        <v>31</v>
      </c>
      <c r="I136" s="180"/>
      <c r="J136" s="181"/>
      <c r="K136" s="182">
        <f>K96</f>
        <v>813</v>
      </c>
      <c r="L136" s="183"/>
      <c r="M136" s="184" t="str">
        <f>M96</f>
        <v>AU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290560-5832</v>
      </c>
      <c r="C137" s="136"/>
      <c r="D137" s="136"/>
      <c r="E137" s="136"/>
      <c r="F137" s="136"/>
      <c r="G137" s="136"/>
      <c r="H137" s="179">
        <f>H97</f>
        <v>1</v>
      </c>
      <c r="I137" s="180"/>
      <c r="J137" s="181"/>
      <c r="K137" s="182">
        <f>K97</f>
        <v>31</v>
      </c>
      <c r="L137" s="183"/>
      <c r="M137" s="184" t="str">
        <f t="shared" ref="M137:M154" si="13">M97</f>
        <v>OJ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290659-5832</v>
      </c>
      <c r="C138" s="136"/>
      <c r="D138" s="136"/>
      <c r="E138" s="136"/>
      <c r="F138" s="136"/>
      <c r="G138" s="136"/>
      <c r="H138" s="179">
        <f t="shared" ref="H138:H154" si="15">H98</f>
        <v>8</v>
      </c>
      <c r="I138" s="180"/>
      <c r="J138" s="181"/>
      <c r="K138" s="182">
        <f t="shared" ref="K138:K154" si="16">K98</f>
        <v>344</v>
      </c>
      <c r="L138" s="183"/>
      <c r="M138" s="184" t="str">
        <f t="shared" si="13"/>
        <v>JP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285445-5832</v>
      </c>
      <c r="C139" s="136"/>
      <c r="D139" s="136"/>
      <c r="E139" s="136"/>
      <c r="F139" s="136"/>
      <c r="G139" s="136"/>
      <c r="H139" s="179">
        <f t="shared" si="15"/>
        <v>1</v>
      </c>
      <c r="I139" s="180"/>
      <c r="J139" s="181"/>
      <c r="K139" s="182">
        <f t="shared" si="16"/>
        <v>10</v>
      </c>
      <c r="L139" s="183"/>
      <c r="M139" s="184" t="str">
        <f t="shared" si="13"/>
        <v>OO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300623-5832</v>
      </c>
      <c r="C140" s="136"/>
      <c r="D140" s="136"/>
      <c r="E140" s="136"/>
      <c r="F140" s="136"/>
      <c r="G140" s="136"/>
      <c r="H140" s="179">
        <f t="shared" si="15"/>
        <v>2</v>
      </c>
      <c r="I140" s="180"/>
      <c r="J140" s="181"/>
      <c r="K140" s="182">
        <f t="shared" si="16"/>
        <v>79</v>
      </c>
      <c r="L140" s="183"/>
      <c r="M140" s="184" t="str">
        <f t="shared" si="13"/>
        <v>OO,OJ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267089-5828</v>
      </c>
      <c r="C141" s="136"/>
      <c r="D141" s="136"/>
      <c r="E141" s="136"/>
      <c r="F141" s="136"/>
      <c r="G141" s="136"/>
      <c r="H141" s="179">
        <f t="shared" si="15"/>
        <v>2</v>
      </c>
      <c r="I141" s="180"/>
      <c r="J141" s="181"/>
      <c r="K141" s="182">
        <f t="shared" si="16"/>
        <v>57</v>
      </c>
      <c r="L141" s="183"/>
      <c r="M141" s="184" t="str">
        <f t="shared" si="13"/>
        <v>HK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 t="str">
        <f t="shared" si="12"/>
        <v>266270-5828</v>
      </c>
      <c r="C142" s="136"/>
      <c r="D142" s="136"/>
      <c r="E142" s="136"/>
      <c r="F142" s="136"/>
      <c r="G142" s="136"/>
      <c r="H142" s="179">
        <f t="shared" si="15"/>
        <v>1</v>
      </c>
      <c r="I142" s="180"/>
      <c r="J142" s="181"/>
      <c r="K142" s="182">
        <f t="shared" si="16"/>
        <v>11</v>
      </c>
      <c r="L142" s="183"/>
      <c r="M142" s="184" t="str">
        <f t="shared" si="13"/>
        <v>HK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 t="str">
        <f t="shared" si="12"/>
        <v>996537-5832</v>
      </c>
      <c r="C143" s="136"/>
      <c r="D143" s="136"/>
      <c r="E143" s="136"/>
      <c r="F143" s="136"/>
      <c r="G143" s="136"/>
      <c r="H143" s="179">
        <f t="shared" si="15"/>
        <v>32</v>
      </c>
      <c r="I143" s="180"/>
      <c r="J143" s="181"/>
      <c r="K143" s="182">
        <f t="shared" si="16"/>
        <v>2650</v>
      </c>
      <c r="L143" s="183"/>
      <c r="M143" s="184" t="str">
        <f t="shared" si="13"/>
        <v>CL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 t="str">
        <f t="shared" si="12"/>
        <v>300624-5832</v>
      </c>
      <c r="C144" s="136"/>
      <c r="D144" s="136"/>
      <c r="E144" s="136"/>
      <c r="F144" s="136"/>
      <c r="G144" s="136"/>
      <c r="H144" s="179">
        <f t="shared" si="15"/>
        <v>3</v>
      </c>
      <c r="I144" s="180"/>
      <c r="J144" s="181"/>
      <c r="K144" s="182">
        <f t="shared" si="16"/>
        <v>94</v>
      </c>
      <c r="L144" s="183"/>
      <c r="M144" s="184" t="str">
        <f t="shared" si="13"/>
        <v>OO,OJ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 t="str">
        <f t="shared" si="12"/>
        <v>300625-5832</v>
      </c>
      <c r="C145" s="136"/>
      <c r="D145" s="136"/>
      <c r="E145" s="136"/>
      <c r="F145" s="136"/>
      <c r="G145" s="136"/>
      <c r="H145" s="179">
        <f t="shared" si="15"/>
        <v>2</v>
      </c>
      <c r="I145" s="180"/>
      <c r="J145" s="181"/>
      <c r="K145" s="182">
        <f t="shared" si="16"/>
        <v>37</v>
      </c>
      <c r="L145" s="183"/>
      <c r="M145" s="184" t="str">
        <f t="shared" si="13"/>
        <v>OO,OJ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 t="str">
        <f t="shared" si="12"/>
        <v>300633-5832</v>
      </c>
      <c r="C146" s="136"/>
      <c r="D146" s="136"/>
      <c r="E146" s="136"/>
      <c r="F146" s="136"/>
      <c r="G146" s="136"/>
      <c r="H146" s="179">
        <f t="shared" si="15"/>
        <v>5</v>
      </c>
      <c r="I146" s="180"/>
      <c r="J146" s="181"/>
      <c r="K146" s="182">
        <f t="shared" si="16"/>
        <v>247</v>
      </c>
      <c r="L146" s="183"/>
      <c r="M146" s="184" t="str">
        <f t="shared" si="13"/>
        <v>JP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 t="str">
        <f t="shared" si="12"/>
        <v>323659-5832</v>
      </c>
      <c r="C147" s="136"/>
      <c r="D147" s="136"/>
      <c r="E147" s="136"/>
      <c r="F147" s="136"/>
      <c r="G147" s="136"/>
      <c r="H147" s="179">
        <f t="shared" si="15"/>
        <v>1</v>
      </c>
      <c r="I147" s="180"/>
      <c r="J147" s="181"/>
      <c r="K147" s="182">
        <f t="shared" si="16"/>
        <v>58</v>
      </c>
      <c r="L147" s="183"/>
      <c r="M147" s="184" t="str">
        <f t="shared" si="13"/>
        <v>OFITW128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 t="str">
        <f t="shared" si="12"/>
        <v>318814-7952</v>
      </c>
      <c r="C148" s="136"/>
      <c r="D148" s="136"/>
      <c r="E148" s="136"/>
      <c r="F148" s="136"/>
      <c r="G148" s="136"/>
      <c r="H148" s="179">
        <f t="shared" si="15"/>
        <v>7</v>
      </c>
      <c r="I148" s="180"/>
      <c r="J148" s="181"/>
      <c r="K148" s="182">
        <f t="shared" si="16"/>
        <v>478</v>
      </c>
      <c r="L148" s="183"/>
      <c r="M148" s="184" t="str">
        <f t="shared" si="13"/>
        <v>TR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 t="str">
        <f t="shared" si="12"/>
        <v>306973-5828</v>
      </c>
      <c r="C149" s="136"/>
      <c r="D149" s="136"/>
      <c r="E149" s="136"/>
      <c r="F149" s="136"/>
      <c r="G149" s="136"/>
      <c r="H149" s="179">
        <f t="shared" si="15"/>
        <v>9</v>
      </c>
      <c r="I149" s="180"/>
      <c r="J149" s="181"/>
      <c r="K149" s="182">
        <f t="shared" si="16"/>
        <v>683</v>
      </c>
      <c r="L149" s="183"/>
      <c r="M149" s="184" t="str">
        <f t="shared" si="13"/>
        <v>TR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 t="str">
        <f t="shared" si="12"/>
        <v>323673-5832</v>
      </c>
      <c r="C150" s="136"/>
      <c r="D150" s="136"/>
      <c r="E150" s="136"/>
      <c r="F150" s="136"/>
      <c r="G150" s="136"/>
      <c r="H150" s="179">
        <f t="shared" si="15"/>
        <v>5</v>
      </c>
      <c r="I150" s="180"/>
      <c r="J150" s="181"/>
      <c r="K150" s="182">
        <f t="shared" si="16"/>
        <v>423</v>
      </c>
      <c r="L150" s="183"/>
      <c r="M150" s="184" t="str">
        <f t="shared" si="13"/>
        <v>OT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 t="str">
        <f t="shared" si="12"/>
        <v>980812-1643</v>
      </c>
      <c r="C151" s="136"/>
      <c r="D151" s="136"/>
      <c r="E151" s="136"/>
      <c r="F151" s="136"/>
      <c r="G151" s="136"/>
      <c r="H151" s="179">
        <f t="shared" si="15"/>
        <v>1</v>
      </c>
      <c r="I151" s="180"/>
      <c r="J151" s="181"/>
      <c r="K151" s="182">
        <f t="shared" si="16"/>
        <v>13</v>
      </c>
      <c r="L151" s="183"/>
      <c r="M151" s="184" t="str">
        <f t="shared" si="13"/>
        <v>AU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 t="str">
        <f t="shared" si="12"/>
        <v>296214-5832</v>
      </c>
      <c r="C152" s="136"/>
      <c r="D152" s="136"/>
      <c r="E152" s="136"/>
      <c r="F152" s="136"/>
      <c r="G152" s="136"/>
      <c r="H152" s="179">
        <f t="shared" si="15"/>
        <v>2</v>
      </c>
      <c r="I152" s="180"/>
      <c r="J152" s="181"/>
      <c r="K152" s="182">
        <f t="shared" si="16"/>
        <v>43</v>
      </c>
      <c r="L152" s="183"/>
      <c r="M152" s="184" t="str">
        <f t="shared" si="13"/>
        <v>OO,OJ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3253785832</v>
      </c>
      <c r="C153" s="136"/>
      <c r="D153" s="136"/>
      <c r="E153" s="136"/>
      <c r="F153" s="136"/>
      <c r="G153" s="136"/>
      <c r="H153" s="179">
        <f t="shared" si="15"/>
        <v>3</v>
      </c>
      <c r="I153" s="180"/>
      <c r="J153" s="181"/>
      <c r="K153" s="182">
        <f t="shared" si="16"/>
        <v>134</v>
      </c>
      <c r="L153" s="183"/>
      <c r="M153" s="184" t="str">
        <f t="shared" si="13"/>
        <v>LH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 t="str">
        <f t="shared" si="17"/>
        <v>993662-7952</v>
      </c>
      <c r="C154" s="136"/>
      <c r="D154" s="136"/>
      <c r="E154" s="136"/>
      <c r="F154" s="136"/>
      <c r="G154" s="136"/>
      <c r="H154" s="179">
        <f t="shared" si="15"/>
        <v>39</v>
      </c>
      <c r="I154" s="180"/>
      <c r="J154" s="181"/>
      <c r="K154" s="182">
        <f t="shared" si="16"/>
        <v>1100</v>
      </c>
      <c r="L154" s="183"/>
      <c r="M154" s="184" t="str">
        <f t="shared" si="13"/>
        <v>CL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201</v>
      </c>
      <c r="I155" s="195"/>
      <c r="J155" s="196"/>
      <c r="K155" s="158">
        <f>SUM(K135:L154)</f>
        <v>12135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MD.VASANI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01815-365211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>
        <f>D118</f>
        <v>1191083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C.M.TA 11-8410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L8:P8 L48:P48 L88:P88 L128:P128" xr:uid="{AF771389-B88C-4601-BF90-ADAF7ACE5947}">
      <formula1>Mode</formula1>
    </dataValidation>
    <dataValidation type="list" allowBlank="1" showInputMessage="1" showErrorMessage="1" sqref="A8 A48 A88 A128" xr:uid="{0E681E9C-B649-4D11-A741-E05344FAFCDF}">
      <formula1>$T$7:$T$35</formula1>
    </dataValidation>
    <dataValidation type="list" allowBlank="1" showInputMessage="1" showErrorMessage="1" sqref="L9:P11 L49:P51 L89:P91 L129:P131" xr:uid="{C20F5A20-F2AB-4542-B6FE-29242C9C68A5}">
      <formula1>Carrier</formula1>
    </dataValidation>
    <dataValidation type="list" allowBlank="1" showInputMessage="1" showErrorMessage="1" sqref="C14:D14 C94:D94 C54:D54 C134:D134" xr:uid="{7A7F5E6F-9CA8-4318-A28B-A78F76623473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26DE-7121-4EF0-89CD-5F50147261A4}">
  <sheetPr>
    <tabColor rgb="FF00B050"/>
  </sheetPr>
  <dimension ref="A1:Y168"/>
  <sheetViews>
    <sheetView view="pageBreakPreview" topLeftCell="A25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179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232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190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128</v>
      </c>
      <c r="C15" s="146"/>
      <c r="D15" s="146"/>
      <c r="E15" s="146"/>
      <c r="F15" s="146"/>
      <c r="G15" s="146"/>
      <c r="H15" s="147">
        <v>3</v>
      </c>
      <c r="I15" s="148"/>
      <c r="J15" s="149"/>
      <c r="K15" s="150">
        <v>92</v>
      </c>
      <c r="L15" s="151"/>
      <c r="M15" s="133" t="s">
        <v>216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130</v>
      </c>
      <c r="C16" s="136"/>
      <c r="D16" s="136"/>
      <c r="E16" s="136"/>
      <c r="F16" s="136"/>
      <c r="G16" s="136"/>
      <c r="H16" s="137">
        <v>1</v>
      </c>
      <c r="I16" s="137"/>
      <c r="J16" s="137"/>
      <c r="K16" s="138">
        <v>48</v>
      </c>
      <c r="L16" s="138"/>
      <c r="M16" s="139" t="s">
        <v>216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218</v>
      </c>
      <c r="C17" s="136"/>
      <c r="D17" s="136"/>
      <c r="E17" s="136"/>
      <c r="F17" s="136"/>
      <c r="G17" s="136"/>
      <c r="H17" s="137">
        <v>1</v>
      </c>
      <c r="I17" s="137"/>
      <c r="J17" s="137"/>
      <c r="K17" s="138">
        <v>24</v>
      </c>
      <c r="L17" s="138"/>
      <c r="M17" s="139" t="s">
        <v>216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219</v>
      </c>
      <c r="C18" s="136"/>
      <c r="D18" s="136"/>
      <c r="E18" s="136"/>
      <c r="F18" s="136"/>
      <c r="G18" s="136"/>
      <c r="H18" s="137">
        <v>3</v>
      </c>
      <c r="I18" s="137"/>
      <c r="J18" s="137"/>
      <c r="K18" s="138">
        <v>182</v>
      </c>
      <c r="L18" s="138"/>
      <c r="M18" s="139" t="s">
        <v>202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220</v>
      </c>
      <c r="C19" s="136"/>
      <c r="D19" s="136"/>
      <c r="E19" s="136"/>
      <c r="F19" s="136"/>
      <c r="G19" s="136"/>
      <c r="H19" s="137">
        <v>31</v>
      </c>
      <c r="I19" s="137"/>
      <c r="J19" s="137"/>
      <c r="K19" s="138">
        <v>1675</v>
      </c>
      <c r="L19" s="138"/>
      <c r="M19" s="139" t="s">
        <v>196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221</v>
      </c>
      <c r="C20" s="136"/>
      <c r="D20" s="136"/>
      <c r="E20" s="136"/>
      <c r="F20" s="136"/>
      <c r="G20" s="136"/>
      <c r="H20" s="137">
        <v>42</v>
      </c>
      <c r="I20" s="137"/>
      <c r="J20" s="137"/>
      <c r="K20" s="138">
        <v>3486</v>
      </c>
      <c r="L20" s="138"/>
      <c r="M20" s="152" t="s">
        <v>205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222</v>
      </c>
      <c r="C21" s="136"/>
      <c r="D21" s="136"/>
      <c r="E21" s="136"/>
      <c r="F21" s="136"/>
      <c r="G21" s="136"/>
      <c r="H21" s="137">
        <v>4</v>
      </c>
      <c r="I21" s="137"/>
      <c r="J21" s="137"/>
      <c r="K21" s="138">
        <v>161</v>
      </c>
      <c r="L21" s="138"/>
      <c r="M21" s="139" t="s">
        <v>216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 t="s">
        <v>156</v>
      </c>
      <c r="C22" s="136"/>
      <c r="D22" s="136"/>
      <c r="E22" s="136"/>
      <c r="F22" s="136"/>
      <c r="G22" s="136"/>
      <c r="H22" s="137">
        <v>1</v>
      </c>
      <c r="I22" s="137"/>
      <c r="J22" s="137"/>
      <c r="K22" s="138">
        <v>58</v>
      </c>
      <c r="L22" s="138"/>
      <c r="M22" s="139" t="s">
        <v>216</v>
      </c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 t="s">
        <v>223</v>
      </c>
      <c r="C23" s="136"/>
      <c r="D23" s="136"/>
      <c r="E23" s="136"/>
      <c r="F23" s="136"/>
      <c r="G23" s="136"/>
      <c r="H23" s="137">
        <v>2</v>
      </c>
      <c r="I23" s="137"/>
      <c r="J23" s="137"/>
      <c r="K23" s="138">
        <v>57</v>
      </c>
      <c r="L23" s="138"/>
      <c r="M23" s="139" t="s">
        <v>200</v>
      </c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 t="s">
        <v>224</v>
      </c>
      <c r="C24" s="136"/>
      <c r="D24" s="136"/>
      <c r="E24" s="136"/>
      <c r="F24" s="136"/>
      <c r="G24" s="136"/>
      <c r="H24" s="137">
        <v>23</v>
      </c>
      <c r="I24" s="137"/>
      <c r="J24" s="137"/>
      <c r="K24" s="138">
        <v>4101</v>
      </c>
      <c r="L24" s="138"/>
      <c r="M24" s="139" t="s">
        <v>205</v>
      </c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 t="s">
        <v>153</v>
      </c>
      <c r="C25" s="136"/>
      <c r="D25" s="136"/>
      <c r="E25" s="136"/>
      <c r="F25" s="136"/>
      <c r="G25" s="136"/>
      <c r="H25" s="137">
        <v>26</v>
      </c>
      <c r="I25" s="137"/>
      <c r="J25" s="137"/>
      <c r="K25" s="138">
        <v>654</v>
      </c>
      <c r="L25" s="138"/>
      <c r="M25" s="139" t="s">
        <v>191</v>
      </c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 t="s">
        <v>150</v>
      </c>
      <c r="C26" s="136"/>
      <c r="D26" s="136"/>
      <c r="E26" s="136"/>
      <c r="F26" s="136"/>
      <c r="G26" s="136"/>
      <c r="H26" s="137">
        <v>3</v>
      </c>
      <c r="I26" s="137"/>
      <c r="J26" s="137"/>
      <c r="K26" s="138">
        <v>168</v>
      </c>
      <c r="L26" s="138"/>
      <c r="M26" s="139" t="s">
        <v>212</v>
      </c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 t="s">
        <v>225</v>
      </c>
      <c r="C27" s="136"/>
      <c r="D27" s="136"/>
      <c r="E27" s="136"/>
      <c r="F27" s="136"/>
      <c r="G27" s="136"/>
      <c r="H27" s="137">
        <v>3</v>
      </c>
      <c r="I27" s="137"/>
      <c r="J27" s="137"/>
      <c r="K27" s="138">
        <v>208</v>
      </c>
      <c r="L27" s="138"/>
      <c r="M27" s="139" t="s">
        <v>196</v>
      </c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 t="s">
        <v>226</v>
      </c>
      <c r="C28" s="136"/>
      <c r="D28" s="136"/>
      <c r="E28" s="136"/>
      <c r="F28" s="136"/>
      <c r="G28" s="136"/>
      <c r="H28" s="137">
        <v>4</v>
      </c>
      <c r="I28" s="137"/>
      <c r="J28" s="137"/>
      <c r="K28" s="138">
        <v>120</v>
      </c>
      <c r="L28" s="138"/>
      <c r="M28" s="139" t="s">
        <v>193</v>
      </c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 t="s">
        <v>227</v>
      </c>
      <c r="C29" s="136"/>
      <c r="D29" s="136"/>
      <c r="E29" s="136"/>
      <c r="F29" s="136"/>
      <c r="G29" s="136"/>
      <c r="H29" s="137">
        <v>1</v>
      </c>
      <c r="I29" s="137"/>
      <c r="J29" s="137"/>
      <c r="K29" s="138">
        <v>16</v>
      </c>
      <c r="L29" s="138"/>
      <c r="M29" s="139" t="s">
        <v>198</v>
      </c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 t="s">
        <v>228</v>
      </c>
      <c r="C30" s="136"/>
      <c r="D30" s="136"/>
      <c r="E30" s="136"/>
      <c r="F30" s="136"/>
      <c r="G30" s="136"/>
      <c r="H30" s="137">
        <v>4</v>
      </c>
      <c r="I30" s="137"/>
      <c r="J30" s="137"/>
      <c r="K30" s="138">
        <v>134</v>
      </c>
      <c r="L30" s="138"/>
      <c r="M30" s="139" t="s">
        <v>200</v>
      </c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>
        <v>3180915828</v>
      </c>
      <c r="C31" s="136"/>
      <c r="D31" s="136"/>
      <c r="E31" s="136"/>
      <c r="F31" s="136"/>
      <c r="G31" s="136"/>
      <c r="H31" s="137">
        <v>11</v>
      </c>
      <c r="I31" s="137"/>
      <c r="J31" s="137"/>
      <c r="K31" s="138">
        <v>493</v>
      </c>
      <c r="L31" s="138"/>
      <c r="M31" s="139" t="s">
        <v>212</v>
      </c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 t="s">
        <v>229</v>
      </c>
      <c r="C32" s="136"/>
      <c r="D32" s="136"/>
      <c r="E32" s="136"/>
      <c r="F32" s="136"/>
      <c r="G32" s="136"/>
      <c r="H32" s="137">
        <v>2</v>
      </c>
      <c r="I32" s="137"/>
      <c r="J32" s="137"/>
      <c r="K32" s="138">
        <v>140</v>
      </c>
      <c r="L32" s="138"/>
      <c r="M32" s="139" t="s">
        <v>200</v>
      </c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 t="s">
        <v>230</v>
      </c>
      <c r="C33" s="136"/>
      <c r="D33" s="136"/>
      <c r="E33" s="136"/>
      <c r="F33" s="136"/>
      <c r="G33" s="136"/>
      <c r="H33" s="137">
        <v>2</v>
      </c>
      <c r="I33" s="137"/>
      <c r="J33" s="137"/>
      <c r="K33" s="138">
        <v>58</v>
      </c>
      <c r="L33" s="138"/>
      <c r="M33" s="139" t="s">
        <v>200</v>
      </c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 t="s">
        <v>231</v>
      </c>
      <c r="C34" s="136"/>
      <c r="D34" s="136"/>
      <c r="E34" s="136"/>
      <c r="F34" s="136"/>
      <c r="G34" s="136"/>
      <c r="H34" s="137">
        <v>6</v>
      </c>
      <c r="I34" s="137"/>
      <c r="J34" s="137"/>
      <c r="K34" s="138">
        <v>264</v>
      </c>
      <c r="L34" s="138"/>
      <c r="M34" s="139" t="s">
        <v>212</v>
      </c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173</v>
      </c>
      <c r="I35" s="156"/>
      <c r="J35" s="157"/>
      <c r="K35" s="158">
        <f>SUM(K15:L34)</f>
        <v>12139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235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234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>
        <v>1191083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233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O527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523763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Summit Alliance Port Ltd. (SAPL).
Katghar, South Patenga, Chattogram.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321334-5828</v>
      </c>
      <c r="C55" s="146"/>
      <c r="D55" s="146"/>
      <c r="E55" s="146"/>
      <c r="F55" s="146"/>
      <c r="G55" s="146"/>
      <c r="H55" s="147">
        <f>H15</f>
        <v>3</v>
      </c>
      <c r="I55" s="148"/>
      <c r="J55" s="149"/>
      <c r="K55" s="150">
        <f>K15</f>
        <v>92</v>
      </c>
      <c r="L55" s="151"/>
      <c r="M55" s="133" t="str">
        <f>M15</f>
        <v>LH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327483-7952</v>
      </c>
      <c r="C56" s="136"/>
      <c r="D56" s="136"/>
      <c r="E56" s="136"/>
      <c r="F56" s="136"/>
      <c r="G56" s="136"/>
      <c r="H56" s="137">
        <f>H16</f>
        <v>1</v>
      </c>
      <c r="I56" s="137"/>
      <c r="J56" s="137"/>
      <c r="K56" s="138">
        <f>K16</f>
        <v>48</v>
      </c>
      <c r="L56" s="138"/>
      <c r="M56" s="139" t="str">
        <f t="shared" ref="M56:M74" si="0">M16</f>
        <v>LH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315863-5832</v>
      </c>
      <c r="C57" s="136"/>
      <c r="D57" s="136"/>
      <c r="E57" s="136"/>
      <c r="F57" s="136"/>
      <c r="G57" s="136"/>
      <c r="H57" s="137">
        <f>H17</f>
        <v>1</v>
      </c>
      <c r="I57" s="137"/>
      <c r="J57" s="137"/>
      <c r="K57" s="138">
        <f>K17</f>
        <v>24</v>
      </c>
      <c r="L57" s="138"/>
      <c r="M57" s="139" t="str">
        <f t="shared" si="0"/>
        <v>LH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285095-5832</v>
      </c>
      <c r="C58" s="136"/>
      <c r="D58" s="136"/>
      <c r="E58" s="136"/>
      <c r="F58" s="136"/>
      <c r="G58" s="136"/>
      <c r="H58" s="137">
        <f t="shared" ref="H58:H74" si="3">H18</f>
        <v>3</v>
      </c>
      <c r="I58" s="137"/>
      <c r="J58" s="137"/>
      <c r="K58" s="138">
        <f t="shared" ref="K58:K74" si="4">K18</f>
        <v>182</v>
      </c>
      <c r="L58" s="138"/>
      <c r="M58" s="139" t="str">
        <f t="shared" si="0"/>
        <v>HK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287845-5832</v>
      </c>
      <c r="C59" s="136"/>
      <c r="D59" s="136"/>
      <c r="E59" s="136"/>
      <c r="F59" s="136"/>
      <c r="G59" s="136"/>
      <c r="H59" s="137">
        <f t="shared" si="3"/>
        <v>31</v>
      </c>
      <c r="I59" s="137"/>
      <c r="J59" s="137"/>
      <c r="K59" s="138">
        <f t="shared" si="4"/>
        <v>1675</v>
      </c>
      <c r="L59" s="138"/>
      <c r="M59" s="139" t="str">
        <f t="shared" si="0"/>
        <v>JP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996544-5832</v>
      </c>
      <c r="C60" s="136"/>
      <c r="D60" s="136"/>
      <c r="E60" s="136"/>
      <c r="F60" s="136"/>
      <c r="G60" s="136"/>
      <c r="H60" s="137">
        <f t="shared" si="3"/>
        <v>42</v>
      </c>
      <c r="I60" s="137"/>
      <c r="J60" s="137"/>
      <c r="K60" s="138">
        <f t="shared" si="4"/>
        <v>3486</v>
      </c>
      <c r="L60" s="138"/>
      <c r="M60" s="139" t="str">
        <f t="shared" si="0"/>
        <v>CL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325380-5832</v>
      </c>
      <c r="C61" s="136"/>
      <c r="D61" s="136"/>
      <c r="E61" s="136"/>
      <c r="F61" s="136"/>
      <c r="G61" s="136"/>
      <c r="H61" s="137">
        <f t="shared" si="3"/>
        <v>4</v>
      </c>
      <c r="I61" s="137"/>
      <c r="J61" s="137"/>
      <c r="K61" s="138">
        <f t="shared" si="4"/>
        <v>161</v>
      </c>
      <c r="L61" s="138"/>
      <c r="M61" s="139" t="str">
        <f t="shared" si="0"/>
        <v>LH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 t="str">
        <f t="shared" si="1"/>
        <v>323242-5832</v>
      </c>
      <c r="C62" s="136"/>
      <c r="D62" s="136"/>
      <c r="E62" s="136"/>
      <c r="F62" s="136"/>
      <c r="G62" s="136"/>
      <c r="H62" s="137">
        <f t="shared" si="3"/>
        <v>1</v>
      </c>
      <c r="I62" s="137"/>
      <c r="J62" s="137"/>
      <c r="K62" s="138">
        <f t="shared" si="4"/>
        <v>58</v>
      </c>
      <c r="L62" s="138"/>
      <c r="M62" s="139" t="str">
        <f t="shared" si="0"/>
        <v>LH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 t="str">
        <f t="shared" si="1"/>
        <v>300719-5832</v>
      </c>
      <c r="C63" s="136"/>
      <c r="D63" s="136"/>
      <c r="E63" s="136"/>
      <c r="F63" s="136"/>
      <c r="G63" s="136"/>
      <c r="H63" s="137">
        <f t="shared" si="3"/>
        <v>2</v>
      </c>
      <c r="I63" s="137"/>
      <c r="J63" s="137"/>
      <c r="K63" s="138">
        <f t="shared" si="4"/>
        <v>57</v>
      </c>
      <c r="L63" s="138"/>
      <c r="M63" s="139" t="str">
        <f t="shared" si="0"/>
        <v>OO,OJ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 t="str">
        <f t="shared" si="1"/>
        <v>207718-1643</v>
      </c>
      <c r="C64" s="136"/>
      <c r="D64" s="136"/>
      <c r="E64" s="136"/>
      <c r="F64" s="136"/>
      <c r="G64" s="136"/>
      <c r="H64" s="137">
        <f t="shared" si="3"/>
        <v>23</v>
      </c>
      <c r="I64" s="137"/>
      <c r="J64" s="137"/>
      <c r="K64" s="138">
        <f t="shared" si="4"/>
        <v>4101</v>
      </c>
      <c r="L64" s="138"/>
      <c r="M64" s="139" t="str">
        <f t="shared" si="0"/>
        <v>CL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 t="str">
        <f t="shared" si="1"/>
        <v>320808-5833</v>
      </c>
      <c r="C65" s="136"/>
      <c r="D65" s="136"/>
      <c r="E65" s="136"/>
      <c r="F65" s="136"/>
      <c r="G65" s="136"/>
      <c r="H65" s="137">
        <f t="shared" si="3"/>
        <v>26</v>
      </c>
      <c r="I65" s="137"/>
      <c r="J65" s="137"/>
      <c r="K65" s="138">
        <f t="shared" si="4"/>
        <v>654</v>
      </c>
      <c r="L65" s="138"/>
      <c r="M65" s="139" t="str">
        <f t="shared" si="0"/>
        <v>BE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 t="str">
        <f t="shared" si="1"/>
        <v>308094-5832</v>
      </c>
      <c r="C66" s="136"/>
      <c r="D66" s="136"/>
      <c r="E66" s="136"/>
      <c r="F66" s="136"/>
      <c r="G66" s="136"/>
      <c r="H66" s="137">
        <f t="shared" si="3"/>
        <v>3</v>
      </c>
      <c r="I66" s="137"/>
      <c r="J66" s="137"/>
      <c r="K66" s="138">
        <f t="shared" si="4"/>
        <v>168</v>
      </c>
      <c r="L66" s="138"/>
      <c r="M66" s="139" t="str">
        <f t="shared" si="0"/>
        <v>TR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 t="str">
        <f t="shared" si="1"/>
        <v>300721-5832</v>
      </c>
      <c r="C67" s="136"/>
      <c r="D67" s="136"/>
      <c r="E67" s="136"/>
      <c r="F67" s="136"/>
      <c r="G67" s="136"/>
      <c r="H67" s="137">
        <f t="shared" si="3"/>
        <v>3</v>
      </c>
      <c r="I67" s="137"/>
      <c r="J67" s="137"/>
      <c r="K67" s="138">
        <f t="shared" si="4"/>
        <v>208</v>
      </c>
      <c r="L67" s="138"/>
      <c r="M67" s="139" t="str">
        <f t="shared" si="0"/>
        <v>JP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 t="str">
        <f t="shared" si="1"/>
        <v>986098-1643</v>
      </c>
      <c r="C68" s="136"/>
      <c r="D68" s="136"/>
      <c r="E68" s="136"/>
      <c r="F68" s="136"/>
      <c r="G68" s="136"/>
      <c r="H68" s="137">
        <f t="shared" si="3"/>
        <v>4</v>
      </c>
      <c r="I68" s="137"/>
      <c r="J68" s="137"/>
      <c r="K68" s="138">
        <f t="shared" si="4"/>
        <v>120</v>
      </c>
      <c r="L68" s="138"/>
      <c r="M68" s="139" t="str">
        <f t="shared" si="0"/>
        <v>AU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 t="str">
        <f t="shared" si="1"/>
        <v>324414-5832</v>
      </c>
      <c r="C69" s="136"/>
      <c r="D69" s="136"/>
      <c r="E69" s="136"/>
      <c r="F69" s="136"/>
      <c r="G69" s="136"/>
      <c r="H69" s="137">
        <f t="shared" si="3"/>
        <v>1</v>
      </c>
      <c r="I69" s="137"/>
      <c r="J69" s="137"/>
      <c r="K69" s="138">
        <f t="shared" si="4"/>
        <v>16</v>
      </c>
      <c r="L69" s="138"/>
      <c r="M69" s="139" t="str">
        <f t="shared" si="0"/>
        <v>OO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 t="str">
        <f t="shared" si="1"/>
        <v>296984-7272</v>
      </c>
      <c r="C70" s="136"/>
      <c r="D70" s="136"/>
      <c r="E70" s="136"/>
      <c r="F70" s="136"/>
      <c r="G70" s="136"/>
      <c r="H70" s="137">
        <f t="shared" si="3"/>
        <v>4</v>
      </c>
      <c r="I70" s="137"/>
      <c r="J70" s="137"/>
      <c r="K70" s="138">
        <f t="shared" si="4"/>
        <v>134</v>
      </c>
      <c r="L70" s="138"/>
      <c r="M70" s="139" t="str">
        <f t="shared" si="0"/>
        <v>OO,OJ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3180915828</v>
      </c>
      <c r="C71" s="136"/>
      <c r="D71" s="136"/>
      <c r="E71" s="136"/>
      <c r="F71" s="136"/>
      <c r="G71" s="136"/>
      <c r="H71" s="137">
        <f t="shared" si="3"/>
        <v>11</v>
      </c>
      <c r="I71" s="137"/>
      <c r="J71" s="137"/>
      <c r="K71" s="138">
        <f t="shared" si="4"/>
        <v>493</v>
      </c>
      <c r="L71" s="138"/>
      <c r="M71" s="139" t="str">
        <f t="shared" si="0"/>
        <v>TR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 t="str">
        <f t="shared" si="1"/>
        <v>300718-5832</v>
      </c>
      <c r="C72" s="136"/>
      <c r="D72" s="136"/>
      <c r="E72" s="136"/>
      <c r="F72" s="136"/>
      <c r="G72" s="136"/>
      <c r="H72" s="137">
        <f t="shared" si="3"/>
        <v>2</v>
      </c>
      <c r="I72" s="137"/>
      <c r="J72" s="137"/>
      <c r="K72" s="138">
        <f t="shared" si="4"/>
        <v>140</v>
      </c>
      <c r="L72" s="138"/>
      <c r="M72" s="139" t="str">
        <f t="shared" si="0"/>
        <v>OO,OJ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 t="str">
        <f t="shared" si="5"/>
        <v>300726-5832</v>
      </c>
      <c r="C73" s="136"/>
      <c r="D73" s="136"/>
      <c r="E73" s="136"/>
      <c r="F73" s="136"/>
      <c r="G73" s="136"/>
      <c r="H73" s="137">
        <f t="shared" si="3"/>
        <v>2</v>
      </c>
      <c r="I73" s="137"/>
      <c r="J73" s="137"/>
      <c r="K73" s="138">
        <f t="shared" si="4"/>
        <v>58</v>
      </c>
      <c r="L73" s="138"/>
      <c r="M73" s="139" t="str">
        <f t="shared" si="0"/>
        <v>OO,OJ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 t="str">
        <f t="shared" si="5"/>
        <v>309266-5828</v>
      </c>
      <c r="C74" s="136"/>
      <c r="D74" s="136"/>
      <c r="E74" s="136"/>
      <c r="F74" s="136"/>
      <c r="G74" s="136"/>
      <c r="H74" s="137">
        <f t="shared" si="3"/>
        <v>6</v>
      </c>
      <c r="I74" s="137"/>
      <c r="J74" s="137"/>
      <c r="K74" s="138">
        <f t="shared" si="4"/>
        <v>264</v>
      </c>
      <c r="L74" s="138"/>
      <c r="M74" s="139" t="str">
        <f t="shared" si="0"/>
        <v>TR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173</v>
      </c>
      <c r="I75" s="156"/>
      <c r="J75" s="157"/>
      <c r="K75" s="158">
        <f>SUM(K55:L74)</f>
        <v>12139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MD.VASANI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01815-365211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>
        <f>D38</f>
        <v>1191083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C.M.TA 11-8410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O527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523763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Summit Alliance Port Ltd. (SAPL).
Katghar, South Patenga, Chattogram.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321334-5828</v>
      </c>
      <c r="C95" s="146"/>
      <c r="D95" s="146"/>
      <c r="E95" s="146"/>
      <c r="F95" s="146"/>
      <c r="G95" s="146"/>
      <c r="H95" s="147">
        <f>H55</f>
        <v>3</v>
      </c>
      <c r="I95" s="148"/>
      <c r="J95" s="149"/>
      <c r="K95" s="150">
        <f>K55</f>
        <v>92</v>
      </c>
      <c r="L95" s="151"/>
      <c r="M95" s="133" t="str">
        <f>M55</f>
        <v>LH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327483-7952</v>
      </c>
      <c r="C96" s="136"/>
      <c r="D96" s="136"/>
      <c r="E96" s="136"/>
      <c r="F96" s="136"/>
      <c r="G96" s="136"/>
      <c r="H96" s="137">
        <f>H56</f>
        <v>1</v>
      </c>
      <c r="I96" s="137"/>
      <c r="J96" s="137"/>
      <c r="K96" s="138">
        <f>K56</f>
        <v>48</v>
      </c>
      <c r="L96" s="138"/>
      <c r="M96" s="139" t="str">
        <f>M56</f>
        <v>LH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315863-5832</v>
      </c>
      <c r="C97" s="136"/>
      <c r="D97" s="136"/>
      <c r="E97" s="136"/>
      <c r="F97" s="136"/>
      <c r="G97" s="136"/>
      <c r="H97" s="137">
        <f>H57</f>
        <v>1</v>
      </c>
      <c r="I97" s="137"/>
      <c r="J97" s="137"/>
      <c r="K97" s="138">
        <f>K57</f>
        <v>24</v>
      </c>
      <c r="L97" s="138"/>
      <c r="M97" s="139" t="str">
        <f t="shared" ref="M97:M114" si="7">M57</f>
        <v>LH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285095-5832</v>
      </c>
      <c r="C98" s="136"/>
      <c r="D98" s="136"/>
      <c r="E98" s="136"/>
      <c r="F98" s="136"/>
      <c r="G98" s="136"/>
      <c r="H98" s="137">
        <f t="shared" ref="H98:H114" si="9">H58</f>
        <v>3</v>
      </c>
      <c r="I98" s="137"/>
      <c r="J98" s="137"/>
      <c r="K98" s="138">
        <f t="shared" ref="K98:K114" si="10">K58</f>
        <v>182</v>
      </c>
      <c r="L98" s="138"/>
      <c r="M98" s="139" t="str">
        <f t="shared" si="7"/>
        <v>HK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287845-5832</v>
      </c>
      <c r="C99" s="136"/>
      <c r="D99" s="136"/>
      <c r="E99" s="136"/>
      <c r="F99" s="136"/>
      <c r="G99" s="136"/>
      <c r="H99" s="137">
        <f t="shared" si="9"/>
        <v>31</v>
      </c>
      <c r="I99" s="137"/>
      <c r="J99" s="137"/>
      <c r="K99" s="138">
        <f t="shared" si="10"/>
        <v>1675</v>
      </c>
      <c r="L99" s="138"/>
      <c r="M99" s="139" t="str">
        <f t="shared" si="7"/>
        <v>JP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996544-5832</v>
      </c>
      <c r="C100" s="136"/>
      <c r="D100" s="136"/>
      <c r="E100" s="136"/>
      <c r="F100" s="136"/>
      <c r="G100" s="136"/>
      <c r="H100" s="137">
        <f t="shared" si="9"/>
        <v>42</v>
      </c>
      <c r="I100" s="137"/>
      <c r="J100" s="137"/>
      <c r="K100" s="138">
        <f t="shared" si="10"/>
        <v>3486</v>
      </c>
      <c r="L100" s="138"/>
      <c r="M100" s="139" t="str">
        <f t="shared" si="7"/>
        <v>CL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325380-5832</v>
      </c>
      <c r="C101" s="136"/>
      <c r="D101" s="136"/>
      <c r="E101" s="136"/>
      <c r="F101" s="136"/>
      <c r="G101" s="136"/>
      <c r="H101" s="137">
        <f t="shared" si="9"/>
        <v>4</v>
      </c>
      <c r="I101" s="137"/>
      <c r="J101" s="137"/>
      <c r="K101" s="138">
        <f t="shared" si="10"/>
        <v>161</v>
      </c>
      <c r="L101" s="138"/>
      <c r="M101" s="139" t="str">
        <f t="shared" si="7"/>
        <v>LH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 t="str">
        <f t="shared" si="6"/>
        <v>323242-5832</v>
      </c>
      <c r="C102" s="136"/>
      <c r="D102" s="136"/>
      <c r="E102" s="136"/>
      <c r="F102" s="136"/>
      <c r="G102" s="136"/>
      <c r="H102" s="137">
        <f t="shared" si="9"/>
        <v>1</v>
      </c>
      <c r="I102" s="137"/>
      <c r="J102" s="137"/>
      <c r="K102" s="138">
        <f t="shared" si="10"/>
        <v>58</v>
      </c>
      <c r="L102" s="138"/>
      <c r="M102" s="139" t="str">
        <f t="shared" si="7"/>
        <v>LH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 t="str">
        <f t="shared" si="6"/>
        <v>300719-5832</v>
      </c>
      <c r="C103" s="136"/>
      <c r="D103" s="136"/>
      <c r="E103" s="136"/>
      <c r="F103" s="136"/>
      <c r="G103" s="136"/>
      <c r="H103" s="137">
        <f t="shared" si="9"/>
        <v>2</v>
      </c>
      <c r="I103" s="137"/>
      <c r="J103" s="137"/>
      <c r="K103" s="138">
        <f t="shared" si="10"/>
        <v>57</v>
      </c>
      <c r="L103" s="138"/>
      <c r="M103" s="139" t="str">
        <f t="shared" si="7"/>
        <v>OO,OJ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 t="str">
        <f t="shared" si="6"/>
        <v>207718-1643</v>
      </c>
      <c r="C104" s="136"/>
      <c r="D104" s="136"/>
      <c r="E104" s="136"/>
      <c r="F104" s="136"/>
      <c r="G104" s="136"/>
      <c r="H104" s="137">
        <f t="shared" si="9"/>
        <v>23</v>
      </c>
      <c r="I104" s="137"/>
      <c r="J104" s="137"/>
      <c r="K104" s="138">
        <f t="shared" si="10"/>
        <v>4101</v>
      </c>
      <c r="L104" s="138"/>
      <c r="M104" s="139" t="str">
        <f t="shared" si="7"/>
        <v>CL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 t="str">
        <f t="shared" si="6"/>
        <v>320808-5833</v>
      </c>
      <c r="C105" s="136"/>
      <c r="D105" s="136"/>
      <c r="E105" s="136"/>
      <c r="F105" s="136"/>
      <c r="G105" s="136"/>
      <c r="H105" s="137">
        <f t="shared" si="9"/>
        <v>26</v>
      </c>
      <c r="I105" s="137"/>
      <c r="J105" s="137"/>
      <c r="K105" s="138">
        <f t="shared" si="10"/>
        <v>654</v>
      </c>
      <c r="L105" s="138"/>
      <c r="M105" s="139" t="str">
        <f t="shared" si="7"/>
        <v>BE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 t="str">
        <f t="shared" si="6"/>
        <v>308094-5832</v>
      </c>
      <c r="C106" s="136"/>
      <c r="D106" s="136"/>
      <c r="E106" s="136"/>
      <c r="F106" s="136"/>
      <c r="G106" s="136"/>
      <c r="H106" s="137">
        <f t="shared" si="9"/>
        <v>3</v>
      </c>
      <c r="I106" s="137"/>
      <c r="J106" s="137"/>
      <c r="K106" s="138">
        <f t="shared" si="10"/>
        <v>168</v>
      </c>
      <c r="L106" s="138"/>
      <c r="M106" s="139" t="str">
        <f t="shared" si="7"/>
        <v>TR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 t="str">
        <f t="shared" si="6"/>
        <v>300721-5832</v>
      </c>
      <c r="C107" s="136"/>
      <c r="D107" s="136"/>
      <c r="E107" s="136"/>
      <c r="F107" s="136"/>
      <c r="G107" s="136"/>
      <c r="H107" s="137">
        <f t="shared" si="9"/>
        <v>3</v>
      </c>
      <c r="I107" s="137"/>
      <c r="J107" s="137"/>
      <c r="K107" s="138">
        <f t="shared" si="10"/>
        <v>208</v>
      </c>
      <c r="L107" s="138"/>
      <c r="M107" s="139" t="str">
        <f t="shared" si="7"/>
        <v>JP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 t="str">
        <f t="shared" si="6"/>
        <v>986098-1643</v>
      </c>
      <c r="C108" s="136"/>
      <c r="D108" s="136"/>
      <c r="E108" s="136"/>
      <c r="F108" s="136"/>
      <c r="G108" s="136"/>
      <c r="H108" s="137">
        <f t="shared" si="9"/>
        <v>4</v>
      </c>
      <c r="I108" s="137"/>
      <c r="J108" s="137"/>
      <c r="K108" s="138">
        <f t="shared" si="10"/>
        <v>120</v>
      </c>
      <c r="L108" s="138"/>
      <c r="M108" s="139" t="str">
        <f t="shared" si="7"/>
        <v>AU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 t="str">
        <f t="shared" si="6"/>
        <v>324414-5832</v>
      </c>
      <c r="C109" s="136"/>
      <c r="D109" s="136"/>
      <c r="E109" s="136"/>
      <c r="F109" s="136"/>
      <c r="G109" s="136"/>
      <c r="H109" s="137">
        <f t="shared" si="9"/>
        <v>1</v>
      </c>
      <c r="I109" s="137"/>
      <c r="J109" s="137"/>
      <c r="K109" s="138">
        <f t="shared" si="10"/>
        <v>16</v>
      </c>
      <c r="L109" s="138"/>
      <c r="M109" s="139" t="str">
        <f t="shared" si="7"/>
        <v>OO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 t="str">
        <f t="shared" si="6"/>
        <v>296984-7272</v>
      </c>
      <c r="C110" s="136"/>
      <c r="D110" s="136"/>
      <c r="E110" s="136"/>
      <c r="F110" s="136"/>
      <c r="G110" s="136"/>
      <c r="H110" s="137">
        <f t="shared" si="9"/>
        <v>4</v>
      </c>
      <c r="I110" s="137"/>
      <c r="J110" s="137"/>
      <c r="K110" s="138">
        <f t="shared" si="10"/>
        <v>134</v>
      </c>
      <c r="L110" s="138"/>
      <c r="M110" s="139" t="str">
        <f t="shared" si="7"/>
        <v>OO,OJ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3180915828</v>
      </c>
      <c r="C111" s="136"/>
      <c r="D111" s="136"/>
      <c r="E111" s="136"/>
      <c r="F111" s="136"/>
      <c r="G111" s="136"/>
      <c r="H111" s="137">
        <f t="shared" si="9"/>
        <v>11</v>
      </c>
      <c r="I111" s="137"/>
      <c r="J111" s="137"/>
      <c r="K111" s="138">
        <f t="shared" si="10"/>
        <v>493</v>
      </c>
      <c r="L111" s="138"/>
      <c r="M111" s="139" t="str">
        <f t="shared" si="7"/>
        <v>TR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 t="str">
        <f t="shared" si="6"/>
        <v>300718-5832</v>
      </c>
      <c r="C112" s="136"/>
      <c r="D112" s="136"/>
      <c r="E112" s="136"/>
      <c r="F112" s="136"/>
      <c r="G112" s="136"/>
      <c r="H112" s="137">
        <f t="shared" si="9"/>
        <v>2</v>
      </c>
      <c r="I112" s="137"/>
      <c r="J112" s="137"/>
      <c r="K112" s="138">
        <f t="shared" si="10"/>
        <v>140</v>
      </c>
      <c r="L112" s="138"/>
      <c r="M112" s="139" t="str">
        <f t="shared" si="7"/>
        <v>OO,OJ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 t="str">
        <f t="shared" si="11"/>
        <v>300726-5832</v>
      </c>
      <c r="C113" s="136"/>
      <c r="D113" s="136"/>
      <c r="E113" s="136"/>
      <c r="F113" s="136"/>
      <c r="G113" s="136"/>
      <c r="H113" s="137">
        <f t="shared" si="9"/>
        <v>2</v>
      </c>
      <c r="I113" s="137"/>
      <c r="J113" s="137"/>
      <c r="K113" s="138">
        <f t="shared" si="10"/>
        <v>58</v>
      </c>
      <c r="L113" s="138"/>
      <c r="M113" s="139" t="str">
        <f t="shared" si="7"/>
        <v>OO,OJ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 t="str">
        <f t="shared" si="11"/>
        <v>309266-5828</v>
      </c>
      <c r="C114" s="136"/>
      <c r="D114" s="136"/>
      <c r="E114" s="136"/>
      <c r="F114" s="136"/>
      <c r="G114" s="136"/>
      <c r="H114" s="137">
        <f t="shared" si="9"/>
        <v>6</v>
      </c>
      <c r="I114" s="137"/>
      <c r="J114" s="137"/>
      <c r="K114" s="138">
        <f t="shared" si="10"/>
        <v>264</v>
      </c>
      <c r="L114" s="138"/>
      <c r="M114" s="139" t="str">
        <f t="shared" si="7"/>
        <v>TR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173</v>
      </c>
      <c r="I115" s="156"/>
      <c r="J115" s="157"/>
      <c r="K115" s="158">
        <f>SUM(K95:L114)</f>
        <v>12139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MD.VASANI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01815-365211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>
        <f>D78</f>
        <v>1191083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C.M.TA 11-8410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O527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523763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Summit Alliance Port Ltd. (SAPL).
Katghar, South Patenga, Chattogram.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321334-5828</v>
      </c>
      <c r="C135" s="146"/>
      <c r="D135" s="146"/>
      <c r="E135" s="146"/>
      <c r="F135" s="146"/>
      <c r="G135" s="146"/>
      <c r="H135" s="187">
        <f>H95</f>
        <v>3</v>
      </c>
      <c r="I135" s="188"/>
      <c r="J135" s="189"/>
      <c r="K135" s="190">
        <f>K95</f>
        <v>92</v>
      </c>
      <c r="L135" s="191"/>
      <c r="M135" s="133" t="str">
        <f>M95</f>
        <v>LH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327483-7952</v>
      </c>
      <c r="C136" s="136"/>
      <c r="D136" s="136"/>
      <c r="E136" s="136"/>
      <c r="F136" s="136"/>
      <c r="G136" s="136"/>
      <c r="H136" s="179">
        <f>H96</f>
        <v>1</v>
      </c>
      <c r="I136" s="180"/>
      <c r="J136" s="181"/>
      <c r="K136" s="182">
        <f>K96</f>
        <v>48</v>
      </c>
      <c r="L136" s="183"/>
      <c r="M136" s="184" t="str">
        <f>M96</f>
        <v>LH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315863-5832</v>
      </c>
      <c r="C137" s="136"/>
      <c r="D137" s="136"/>
      <c r="E137" s="136"/>
      <c r="F137" s="136"/>
      <c r="G137" s="136"/>
      <c r="H137" s="179">
        <f>H97</f>
        <v>1</v>
      </c>
      <c r="I137" s="180"/>
      <c r="J137" s="181"/>
      <c r="K137" s="182">
        <f>K97</f>
        <v>24</v>
      </c>
      <c r="L137" s="183"/>
      <c r="M137" s="184" t="str">
        <f t="shared" ref="M137:M154" si="13">M97</f>
        <v>LH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285095-5832</v>
      </c>
      <c r="C138" s="136"/>
      <c r="D138" s="136"/>
      <c r="E138" s="136"/>
      <c r="F138" s="136"/>
      <c r="G138" s="136"/>
      <c r="H138" s="179">
        <f t="shared" ref="H138:H154" si="15">H98</f>
        <v>3</v>
      </c>
      <c r="I138" s="180"/>
      <c r="J138" s="181"/>
      <c r="K138" s="182">
        <f t="shared" ref="K138:K154" si="16">K98</f>
        <v>182</v>
      </c>
      <c r="L138" s="183"/>
      <c r="M138" s="184" t="str">
        <f t="shared" si="13"/>
        <v>HK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287845-5832</v>
      </c>
      <c r="C139" s="136"/>
      <c r="D139" s="136"/>
      <c r="E139" s="136"/>
      <c r="F139" s="136"/>
      <c r="G139" s="136"/>
      <c r="H139" s="179">
        <f t="shared" si="15"/>
        <v>31</v>
      </c>
      <c r="I139" s="180"/>
      <c r="J139" s="181"/>
      <c r="K139" s="182">
        <f t="shared" si="16"/>
        <v>1675</v>
      </c>
      <c r="L139" s="183"/>
      <c r="M139" s="184" t="str">
        <f t="shared" si="13"/>
        <v>JP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996544-5832</v>
      </c>
      <c r="C140" s="136"/>
      <c r="D140" s="136"/>
      <c r="E140" s="136"/>
      <c r="F140" s="136"/>
      <c r="G140" s="136"/>
      <c r="H140" s="179">
        <f t="shared" si="15"/>
        <v>42</v>
      </c>
      <c r="I140" s="180"/>
      <c r="J140" s="181"/>
      <c r="K140" s="182">
        <f t="shared" si="16"/>
        <v>3486</v>
      </c>
      <c r="L140" s="183"/>
      <c r="M140" s="184" t="str">
        <f t="shared" si="13"/>
        <v>CL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325380-5832</v>
      </c>
      <c r="C141" s="136"/>
      <c r="D141" s="136"/>
      <c r="E141" s="136"/>
      <c r="F141" s="136"/>
      <c r="G141" s="136"/>
      <c r="H141" s="179">
        <f t="shared" si="15"/>
        <v>4</v>
      </c>
      <c r="I141" s="180"/>
      <c r="J141" s="181"/>
      <c r="K141" s="182">
        <f t="shared" si="16"/>
        <v>161</v>
      </c>
      <c r="L141" s="183"/>
      <c r="M141" s="184" t="str">
        <f t="shared" si="13"/>
        <v>LH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 t="str">
        <f t="shared" si="12"/>
        <v>323242-5832</v>
      </c>
      <c r="C142" s="136"/>
      <c r="D142" s="136"/>
      <c r="E142" s="136"/>
      <c r="F142" s="136"/>
      <c r="G142" s="136"/>
      <c r="H142" s="179">
        <f t="shared" si="15"/>
        <v>1</v>
      </c>
      <c r="I142" s="180"/>
      <c r="J142" s="181"/>
      <c r="K142" s="182">
        <f t="shared" si="16"/>
        <v>58</v>
      </c>
      <c r="L142" s="183"/>
      <c r="M142" s="184" t="str">
        <f t="shared" si="13"/>
        <v>LH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 t="str">
        <f t="shared" si="12"/>
        <v>300719-5832</v>
      </c>
      <c r="C143" s="136"/>
      <c r="D143" s="136"/>
      <c r="E143" s="136"/>
      <c r="F143" s="136"/>
      <c r="G143" s="136"/>
      <c r="H143" s="179">
        <f t="shared" si="15"/>
        <v>2</v>
      </c>
      <c r="I143" s="180"/>
      <c r="J143" s="181"/>
      <c r="K143" s="182">
        <f t="shared" si="16"/>
        <v>57</v>
      </c>
      <c r="L143" s="183"/>
      <c r="M143" s="184" t="str">
        <f t="shared" si="13"/>
        <v>OO,OJ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 t="str">
        <f t="shared" si="12"/>
        <v>207718-1643</v>
      </c>
      <c r="C144" s="136"/>
      <c r="D144" s="136"/>
      <c r="E144" s="136"/>
      <c r="F144" s="136"/>
      <c r="G144" s="136"/>
      <c r="H144" s="179">
        <f t="shared" si="15"/>
        <v>23</v>
      </c>
      <c r="I144" s="180"/>
      <c r="J144" s="181"/>
      <c r="K144" s="182">
        <f t="shared" si="16"/>
        <v>4101</v>
      </c>
      <c r="L144" s="183"/>
      <c r="M144" s="184" t="str">
        <f t="shared" si="13"/>
        <v>CL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 t="str">
        <f t="shared" si="12"/>
        <v>320808-5833</v>
      </c>
      <c r="C145" s="136"/>
      <c r="D145" s="136"/>
      <c r="E145" s="136"/>
      <c r="F145" s="136"/>
      <c r="G145" s="136"/>
      <c r="H145" s="179">
        <f t="shared" si="15"/>
        <v>26</v>
      </c>
      <c r="I145" s="180"/>
      <c r="J145" s="181"/>
      <c r="K145" s="182">
        <f t="shared" si="16"/>
        <v>654</v>
      </c>
      <c r="L145" s="183"/>
      <c r="M145" s="184" t="str">
        <f t="shared" si="13"/>
        <v>BE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 t="str">
        <f t="shared" si="12"/>
        <v>308094-5832</v>
      </c>
      <c r="C146" s="136"/>
      <c r="D146" s="136"/>
      <c r="E146" s="136"/>
      <c r="F146" s="136"/>
      <c r="G146" s="136"/>
      <c r="H146" s="179">
        <f t="shared" si="15"/>
        <v>3</v>
      </c>
      <c r="I146" s="180"/>
      <c r="J146" s="181"/>
      <c r="K146" s="182">
        <f t="shared" si="16"/>
        <v>168</v>
      </c>
      <c r="L146" s="183"/>
      <c r="M146" s="184" t="str">
        <f t="shared" si="13"/>
        <v>TR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 t="str">
        <f t="shared" si="12"/>
        <v>300721-5832</v>
      </c>
      <c r="C147" s="136"/>
      <c r="D147" s="136"/>
      <c r="E147" s="136"/>
      <c r="F147" s="136"/>
      <c r="G147" s="136"/>
      <c r="H147" s="179">
        <f t="shared" si="15"/>
        <v>3</v>
      </c>
      <c r="I147" s="180"/>
      <c r="J147" s="181"/>
      <c r="K147" s="182">
        <f t="shared" si="16"/>
        <v>208</v>
      </c>
      <c r="L147" s="183"/>
      <c r="M147" s="184" t="str">
        <f t="shared" si="13"/>
        <v>JP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 t="str">
        <f t="shared" si="12"/>
        <v>986098-1643</v>
      </c>
      <c r="C148" s="136"/>
      <c r="D148" s="136"/>
      <c r="E148" s="136"/>
      <c r="F148" s="136"/>
      <c r="G148" s="136"/>
      <c r="H148" s="179">
        <f t="shared" si="15"/>
        <v>4</v>
      </c>
      <c r="I148" s="180"/>
      <c r="J148" s="181"/>
      <c r="K148" s="182">
        <f t="shared" si="16"/>
        <v>120</v>
      </c>
      <c r="L148" s="183"/>
      <c r="M148" s="184" t="str">
        <f t="shared" si="13"/>
        <v>AU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 t="str">
        <f t="shared" si="12"/>
        <v>324414-5832</v>
      </c>
      <c r="C149" s="136"/>
      <c r="D149" s="136"/>
      <c r="E149" s="136"/>
      <c r="F149" s="136"/>
      <c r="G149" s="136"/>
      <c r="H149" s="179">
        <f t="shared" si="15"/>
        <v>1</v>
      </c>
      <c r="I149" s="180"/>
      <c r="J149" s="181"/>
      <c r="K149" s="182">
        <f t="shared" si="16"/>
        <v>16</v>
      </c>
      <c r="L149" s="183"/>
      <c r="M149" s="184" t="str">
        <f t="shared" si="13"/>
        <v>OO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 t="str">
        <f t="shared" si="12"/>
        <v>296984-7272</v>
      </c>
      <c r="C150" s="136"/>
      <c r="D150" s="136"/>
      <c r="E150" s="136"/>
      <c r="F150" s="136"/>
      <c r="G150" s="136"/>
      <c r="H150" s="179">
        <f t="shared" si="15"/>
        <v>4</v>
      </c>
      <c r="I150" s="180"/>
      <c r="J150" s="181"/>
      <c r="K150" s="182">
        <f t="shared" si="16"/>
        <v>134</v>
      </c>
      <c r="L150" s="183"/>
      <c r="M150" s="184" t="str">
        <f t="shared" si="13"/>
        <v>OO,OJ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3180915828</v>
      </c>
      <c r="C151" s="136"/>
      <c r="D151" s="136"/>
      <c r="E151" s="136"/>
      <c r="F151" s="136"/>
      <c r="G151" s="136"/>
      <c r="H151" s="179">
        <f t="shared" si="15"/>
        <v>11</v>
      </c>
      <c r="I151" s="180"/>
      <c r="J151" s="181"/>
      <c r="K151" s="182">
        <f t="shared" si="16"/>
        <v>493</v>
      </c>
      <c r="L151" s="183"/>
      <c r="M151" s="184" t="str">
        <f t="shared" si="13"/>
        <v>TR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 t="str">
        <f t="shared" si="12"/>
        <v>300718-5832</v>
      </c>
      <c r="C152" s="136"/>
      <c r="D152" s="136"/>
      <c r="E152" s="136"/>
      <c r="F152" s="136"/>
      <c r="G152" s="136"/>
      <c r="H152" s="179">
        <f t="shared" si="15"/>
        <v>2</v>
      </c>
      <c r="I152" s="180"/>
      <c r="J152" s="181"/>
      <c r="K152" s="182">
        <f t="shared" si="16"/>
        <v>140</v>
      </c>
      <c r="L152" s="183"/>
      <c r="M152" s="184" t="str">
        <f t="shared" si="13"/>
        <v>OO,OJ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 t="str">
        <f t="shared" si="17"/>
        <v>300726-5832</v>
      </c>
      <c r="C153" s="136"/>
      <c r="D153" s="136"/>
      <c r="E153" s="136"/>
      <c r="F153" s="136"/>
      <c r="G153" s="136"/>
      <c r="H153" s="179">
        <f t="shared" si="15"/>
        <v>2</v>
      </c>
      <c r="I153" s="180"/>
      <c r="J153" s="181"/>
      <c r="K153" s="182">
        <f t="shared" si="16"/>
        <v>58</v>
      </c>
      <c r="L153" s="183"/>
      <c r="M153" s="184" t="str">
        <f t="shared" si="13"/>
        <v>OO,OJ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 t="str">
        <f t="shared" si="17"/>
        <v>309266-5828</v>
      </c>
      <c r="C154" s="136"/>
      <c r="D154" s="136"/>
      <c r="E154" s="136"/>
      <c r="F154" s="136"/>
      <c r="G154" s="136"/>
      <c r="H154" s="179">
        <f t="shared" si="15"/>
        <v>6</v>
      </c>
      <c r="I154" s="180"/>
      <c r="J154" s="181"/>
      <c r="K154" s="182">
        <f t="shared" si="16"/>
        <v>264</v>
      </c>
      <c r="L154" s="183"/>
      <c r="M154" s="184" t="str">
        <f t="shared" si="13"/>
        <v>TR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173</v>
      </c>
      <c r="I155" s="195"/>
      <c r="J155" s="196"/>
      <c r="K155" s="158">
        <f>SUM(K135:L154)</f>
        <v>12139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MD.VASANI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01815-365211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>
        <f>D118</f>
        <v>1191083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C.M.TA 11-8410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C14:D14 C94:D94 C54:D54 C134:D134" xr:uid="{5593CB53-21C1-4339-8509-33EE29C435D0}">
      <formula1>$W$7:$W$161</formula1>
    </dataValidation>
    <dataValidation type="list" allowBlank="1" showInputMessage="1" showErrorMessage="1" sqref="L9:P11 L49:P51 L89:P91 L129:P131" xr:uid="{FF814144-3842-4E60-9693-5EE1341C3CF8}">
      <formula1>Carrier</formula1>
    </dataValidation>
    <dataValidation type="list" allowBlank="1" showInputMessage="1" showErrorMessage="1" sqref="A8 A48 A88 A128" xr:uid="{A854E63E-6A32-4A53-89A5-F4F531D98916}">
      <formula1>$T$7:$T$35</formula1>
    </dataValidation>
    <dataValidation type="list" allowBlank="1" showInputMessage="1" showErrorMessage="1" sqref="L8:P8 L48:P48 L88:P88 L128:P128" xr:uid="{5C7654E0-8F58-40FF-9C2B-F299BD825623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D2C0-3CE9-4E0D-B5CF-CD9071DD5F4F}">
  <sheetPr>
    <tabColor rgb="FF00B050"/>
  </sheetPr>
  <dimension ref="A1:Y168"/>
  <sheetViews>
    <sheetView view="pageBreakPreview" topLeftCell="A10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180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237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236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238</v>
      </c>
      <c r="C15" s="146"/>
      <c r="D15" s="146"/>
      <c r="E15" s="146"/>
      <c r="F15" s="146"/>
      <c r="G15" s="146"/>
      <c r="H15" s="147">
        <v>40</v>
      </c>
      <c r="I15" s="148"/>
      <c r="J15" s="149"/>
      <c r="K15" s="150">
        <v>2055</v>
      </c>
      <c r="L15" s="151"/>
      <c r="M15" s="133" t="s">
        <v>239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240</v>
      </c>
      <c r="C16" s="136"/>
      <c r="D16" s="136"/>
      <c r="E16" s="136"/>
      <c r="F16" s="136"/>
      <c r="G16" s="136"/>
      <c r="H16" s="137">
        <v>68</v>
      </c>
      <c r="I16" s="137"/>
      <c r="J16" s="137"/>
      <c r="K16" s="138">
        <v>3537</v>
      </c>
      <c r="L16" s="138"/>
      <c r="M16" s="139" t="s">
        <v>239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209</v>
      </c>
      <c r="C17" s="136"/>
      <c r="D17" s="136"/>
      <c r="E17" s="136"/>
      <c r="F17" s="136"/>
      <c r="G17" s="136"/>
      <c r="H17" s="137">
        <v>1</v>
      </c>
      <c r="I17" s="137"/>
      <c r="J17" s="137"/>
      <c r="K17" s="138">
        <v>77</v>
      </c>
      <c r="L17" s="138"/>
      <c r="M17" s="139" t="s">
        <v>241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147</v>
      </c>
      <c r="C18" s="136"/>
      <c r="D18" s="136"/>
      <c r="E18" s="136"/>
      <c r="F18" s="136"/>
      <c r="G18" s="136"/>
      <c r="H18" s="137">
        <v>69</v>
      </c>
      <c r="I18" s="137"/>
      <c r="J18" s="137"/>
      <c r="K18" s="138">
        <v>7155</v>
      </c>
      <c r="L18" s="138"/>
      <c r="M18" s="139" t="s">
        <v>191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152</v>
      </c>
      <c r="C19" s="136"/>
      <c r="D19" s="136"/>
      <c r="E19" s="136"/>
      <c r="F19" s="136"/>
      <c r="G19" s="136"/>
      <c r="H19" s="137">
        <v>22</v>
      </c>
      <c r="I19" s="137"/>
      <c r="J19" s="137"/>
      <c r="K19" s="138">
        <v>1628</v>
      </c>
      <c r="L19" s="138"/>
      <c r="M19" s="139" t="s">
        <v>239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211</v>
      </c>
      <c r="C20" s="136"/>
      <c r="D20" s="136"/>
      <c r="E20" s="136"/>
      <c r="F20" s="136"/>
      <c r="G20" s="136"/>
      <c r="H20" s="137">
        <v>21</v>
      </c>
      <c r="I20" s="137"/>
      <c r="J20" s="137"/>
      <c r="K20" s="138">
        <v>1513</v>
      </c>
      <c r="L20" s="138"/>
      <c r="M20" s="152" t="s">
        <v>239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231</v>
      </c>
      <c r="C21" s="136"/>
      <c r="D21" s="136"/>
      <c r="E21" s="136"/>
      <c r="F21" s="136"/>
      <c r="G21" s="136"/>
      <c r="H21" s="137">
        <v>13</v>
      </c>
      <c r="I21" s="137"/>
      <c r="J21" s="137"/>
      <c r="K21" s="138">
        <v>577</v>
      </c>
      <c r="L21" s="138"/>
      <c r="M21" s="139" t="s">
        <v>239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 t="s">
        <v>242</v>
      </c>
      <c r="C22" s="136"/>
      <c r="D22" s="136"/>
      <c r="E22" s="136"/>
      <c r="F22" s="136"/>
      <c r="G22" s="136"/>
      <c r="H22" s="137">
        <v>21</v>
      </c>
      <c r="I22" s="137"/>
      <c r="J22" s="137"/>
      <c r="K22" s="138">
        <v>976</v>
      </c>
      <c r="L22" s="138"/>
      <c r="M22" s="139" t="s">
        <v>239</v>
      </c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 t="s">
        <v>153</v>
      </c>
      <c r="C23" s="136"/>
      <c r="D23" s="136"/>
      <c r="E23" s="136"/>
      <c r="F23" s="136"/>
      <c r="G23" s="136"/>
      <c r="H23" s="137">
        <v>8</v>
      </c>
      <c r="I23" s="137"/>
      <c r="J23" s="137"/>
      <c r="K23" s="138">
        <v>182</v>
      </c>
      <c r="L23" s="138"/>
      <c r="M23" s="139" t="s">
        <v>191</v>
      </c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 t="s">
        <v>149</v>
      </c>
      <c r="C24" s="136"/>
      <c r="D24" s="136"/>
      <c r="E24" s="136"/>
      <c r="F24" s="136"/>
      <c r="G24" s="136"/>
      <c r="H24" s="137">
        <v>6</v>
      </c>
      <c r="I24" s="137"/>
      <c r="J24" s="137"/>
      <c r="K24" s="138">
        <v>481</v>
      </c>
      <c r="L24" s="138"/>
      <c r="M24" s="139" t="s">
        <v>243</v>
      </c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269</v>
      </c>
      <c r="I35" s="156"/>
      <c r="J35" s="157"/>
      <c r="K35" s="158">
        <f>SUM(K15:L34)</f>
        <v>18181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247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245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246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244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O528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523764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Summit Alliance Port Limited (OCL).
Katghar, North Patenga, Chitagong.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1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297318-5828</v>
      </c>
      <c r="C55" s="146"/>
      <c r="D55" s="146"/>
      <c r="E55" s="146"/>
      <c r="F55" s="146"/>
      <c r="G55" s="146"/>
      <c r="H55" s="147">
        <f>H15</f>
        <v>40</v>
      </c>
      <c r="I55" s="148"/>
      <c r="J55" s="149"/>
      <c r="K55" s="150">
        <f>K15</f>
        <v>2055</v>
      </c>
      <c r="L55" s="151"/>
      <c r="M55" s="133" t="str">
        <f>M15</f>
        <v>DE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297321-5828</v>
      </c>
      <c r="C56" s="136"/>
      <c r="D56" s="136"/>
      <c r="E56" s="136"/>
      <c r="F56" s="136"/>
      <c r="G56" s="136"/>
      <c r="H56" s="137">
        <f>H16</f>
        <v>68</v>
      </c>
      <c r="I56" s="137"/>
      <c r="J56" s="137"/>
      <c r="K56" s="138">
        <f>K16</f>
        <v>3537</v>
      </c>
      <c r="L56" s="138"/>
      <c r="M56" s="139" t="str">
        <f t="shared" ref="M56:M74" si="0">M16</f>
        <v>DE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323659-5832</v>
      </c>
      <c r="C57" s="136"/>
      <c r="D57" s="136"/>
      <c r="E57" s="136"/>
      <c r="F57" s="136"/>
      <c r="G57" s="136"/>
      <c r="H57" s="137">
        <f>H17</f>
        <v>1</v>
      </c>
      <c r="I57" s="137"/>
      <c r="J57" s="137"/>
      <c r="K57" s="138">
        <f>K17</f>
        <v>77</v>
      </c>
      <c r="L57" s="138"/>
      <c r="M57" s="139" t="str">
        <f t="shared" si="0"/>
        <v>OFESW267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318268-5832</v>
      </c>
      <c r="C58" s="136"/>
      <c r="D58" s="136"/>
      <c r="E58" s="136"/>
      <c r="F58" s="136"/>
      <c r="G58" s="136"/>
      <c r="H58" s="137">
        <f t="shared" ref="H58:H74" si="3">H18</f>
        <v>69</v>
      </c>
      <c r="I58" s="137"/>
      <c r="J58" s="137"/>
      <c r="K58" s="138">
        <f t="shared" ref="K58:K74" si="4">K18</f>
        <v>7155</v>
      </c>
      <c r="L58" s="138"/>
      <c r="M58" s="139" t="str">
        <f t="shared" si="0"/>
        <v>BE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307398-5832</v>
      </c>
      <c r="C59" s="136"/>
      <c r="D59" s="136"/>
      <c r="E59" s="136"/>
      <c r="F59" s="136"/>
      <c r="G59" s="136"/>
      <c r="H59" s="137">
        <f t="shared" si="3"/>
        <v>22</v>
      </c>
      <c r="I59" s="137"/>
      <c r="J59" s="137"/>
      <c r="K59" s="138">
        <f t="shared" si="4"/>
        <v>1628</v>
      </c>
      <c r="L59" s="138"/>
      <c r="M59" s="139" t="str">
        <f t="shared" si="0"/>
        <v>DE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318814-7952</v>
      </c>
      <c r="C60" s="136"/>
      <c r="D60" s="136"/>
      <c r="E60" s="136"/>
      <c r="F60" s="136"/>
      <c r="G60" s="136"/>
      <c r="H60" s="137">
        <f t="shared" si="3"/>
        <v>21</v>
      </c>
      <c r="I60" s="137"/>
      <c r="J60" s="137"/>
      <c r="K60" s="138">
        <f t="shared" si="4"/>
        <v>1513</v>
      </c>
      <c r="L60" s="138"/>
      <c r="M60" s="139" t="str">
        <f t="shared" si="0"/>
        <v>DE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309266-5828</v>
      </c>
      <c r="C61" s="136"/>
      <c r="D61" s="136"/>
      <c r="E61" s="136"/>
      <c r="F61" s="136"/>
      <c r="G61" s="136"/>
      <c r="H61" s="137">
        <f t="shared" si="3"/>
        <v>13</v>
      </c>
      <c r="I61" s="137"/>
      <c r="J61" s="137"/>
      <c r="K61" s="138">
        <f t="shared" si="4"/>
        <v>577</v>
      </c>
      <c r="L61" s="138"/>
      <c r="M61" s="139" t="str">
        <f t="shared" si="0"/>
        <v>DE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 t="str">
        <f t="shared" si="1"/>
        <v>318091-5828</v>
      </c>
      <c r="C62" s="136"/>
      <c r="D62" s="136"/>
      <c r="E62" s="136"/>
      <c r="F62" s="136"/>
      <c r="G62" s="136"/>
      <c r="H62" s="137">
        <f t="shared" si="3"/>
        <v>21</v>
      </c>
      <c r="I62" s="137"/>
      <c r="J62" s="137"/>
      <c r="K62" s="138">
        <f t="shared" si="4"/>
        <v>976</v>
      </c>
      <c r="L62" s="138"/>
      <c r="M62" s="139" t="str">
        <f t="shared" si="0"/>
        <v>DE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 t="str">
        <f t="shared" si="1"/>
        <v>320808-5833</v>
      </c>
      <c r="C63" s="136"/>
      <c r="D63" s="136"/>
      <c r="E63" s="136"/>
      <c r="F63" s="136"/>
      <c r="G63" s="136"/>
      <c r="H63" s="137">
        <f t="shared" si="3"/>
        <v>8</v>
      </c>
      <c r="I63" s="137"/>
      <c r="J63" s="137"/>
      <c r="K63" s="138">
        <f t="shared" si="4"/>
        <v>182</v>
      </c>
      <c r="L63" s="138"/>
      <c r="M63" s="139" t="str">
        <f t="shared" si="0"/>
        <v>BE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 t="str">
        <f t="shared" si="1"/>
        <v>307395-5832</v>
      </c>
      <c r="C64" s="136"/>
      <c r="D64" s="136"/>
      <c r="E64" s="136"/>
      <c r="F64" s="136"/>
      <c r="G64" s="136"/>
      <c r="H64" s="137">
        <f t="shared" si="3"/>
        <v>6</v>
      </c>
      <c r="I64" s="137"/>
      <c r="J64" s="137"/>
      <c r="K64" s="138">
        <f t="shared" si="4"/>
        <v>481</v>
      </c>
      <c r="L64" s="138"/>
      <c r="M64" s="139" t="str">
        <f t="shared" si="0"/>
        <v xml:space="preserve">BED.M.TA 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269</v>
      </c>
      <c r="I75" s="156"/>
      <c r="J75" s="157"/>
      <c r="K75" s="158">
        <f>SUM(K55:L74)</f>
        <v>18181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MD.OHEDULLA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01875-171707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OOOO3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D.M.TA 13-0867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O528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523764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Summit Alliance Port Limited (OCL).
Katghar, North Patenga, Chitagong.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1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297318-5828</v>
      </c>
      <c r="C95" s="146"/>
      <c r="D95" s="146"/>
      <c r="E95" s="146"/>
      <c r="F95" s="146"/>
      <c r="G95" s="146"/>
      <c r="H95" s="147">
        <f>H55</f>
        <v>40</v>
      </c>
      <c r="I95" s="148"/>
      <c r="J95" s="149"/>
      <c r="K95" s="150">
        <f>K55</f>
        <v>2055</v>
      </c>
      <c r="L95" s="151"/>
      <c r="M95" s="133" t="str">
        <f>M55</f>
        <v>DE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297321-5828</v>
      </c>
      <c r="C96" s="136"/>
      <c r="D96" s="136"/>
      <c r="E96" s="136"/>
      <c r="F96" s="136"/>
      <c r="G96" s="136"/>
      <c r="H96" s="137">
        <f>H56</f>
        <v>68</v>
      </c>
      <c r="I96" s="137"/>
      <c r="J96" s="137"/>
      <c r="K96" s="138">
        <f>K56</f>
        <v>3537</v>
      </c>
      <c r="L96" s="138"/>
      <c r="M96" s="139" t="str">
        <f>M56</f>
        <v>DE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323659-5832</v>
      </c>
      <c r="C97" s="136"/>
      <c r="D97" s="136"/>
      <c r="E97" s="136"/>
      <c r="F97" s="136"/>
      <c r="G97" s="136"/>
      <c r="H97" s="137">
        <f>H57</f>
        <v>1</v>
      </c>
      <c r="I97" s="137"/>
      <c r="J97" s="137"/>
      <c r="K97" s="138">
        <f>K57</f>
        <v>77</v>
      </c>
      <c r="L97" s="138"/>
      <c r="M97" s="139" t="str">
        <f t="shared" ref="M97:M114" si="7">M57</f>
        <v>OFESW267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318268-5832</v>
      </c>
      <c r="C98" s="136"/>
      <c r="D98" s="136"/>
      <c r="E98" s="136"/>
      <c r="F98" s="136"/>
      <c r="G98" s="136"/>
      <c r="H98" s="137">
        <f t="shared" ref="H98:H114" si="9">H58</f>
        <v>69</v>
      </c>
      <c r="I98" s="137"/>
      <c r="J98" s="137"/>
      <c r="K98" s="138">
        <f t="shared" ref="K98:K114" si="10">K58</f>
        <v>7155</v>
      </c>
      <c r="L98" s="138"/>
      <c r="M98" s="139" t="str">
        <f t="shared" si="7"/>
        <v>BE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307398-5832</v>
      </c>
      <c r="C99" s="136"/>
      <c r="D99" s="136"/>
      <c r="E99" s="136"/>
      <c r="F99" s="136"/>
      <c r="G99" s="136"/>
      <c r="H99" s="137">
        <f t="shared" si="9"/>
        <v>22</v>
      </c>
      <c r="I99" s="137"/>
      <c r="J99" s="137"/>
      <c r="K99" s="138">
        <f t="shared" si="10"/>
        <v>1628</v>
      </c>
      <c r="L99" s="138"/>
      <c r="M99" s="139" t="str">
        <f t="shared" si="7"/>
        <v>DE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318814-7952</v>
      </c>
      <c r="C100" s="136"/>
      <c r="D100" s="136"/>
      <c r="E100" s="136"/>
      <c r="F100" s="136"/>
      <c r="G100" s="136"/>
      <c r="H100" s="137">
        <f t="shared" si="9"/>
        <v>21</v>
      </c>
      <c r="I100" s="137"/>
      <c r="J100" s="137"/>
      <c r="K100" s="138">
        <f t="shared" si="10"/>
        <v>1513</v>
      </c>
      <c r="L100" s="138"/>
      <c r="M100" s="139" t="str">
        <f t="shared" si="7"/>
        <v>DE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309266-5828</v>
      </c>
      <c r="C101" s="136"/>
      <c r="D101" s="136"/>
      <c r="E101" s="136"/>
      <c r="F101" s="136"/>
      <c r="G101" s="136"/>
      <c r="H101" s="137">
        <f t="shared" si="9"/>
        <v>13</v>
      </c>
      <c r="I101" s="137"/>
      <c r="J101" s="137"/>
      <c r="K101" s="138">
        <f t="shared" si="10"/>
        <v>577</v>
      </c>
      <c r="L101" s="138"/>
      <c r="M101" s="139" t="str">
        <f t="shared" si="7"/>
        <v>DE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 t="str">
        <f t="shared" si="6"/>
        <v>318091-5828</v>
      </c>
      <c r="C102" s="136"/>
      <c r="D102" s="136"/>
      <c r="E102" s="136"/>
      <c r="F102" s="136"/>
      <c r="G102" s="136"/>
      <c r="H102" s="137">
        <f t="shared" si="9"/>
        <v>21</v>
      </c>
      <c r="I102" s="137"/>
      <c r="J102" s="137"/>
      <c r="K102" s="138">
        <f t="shared" si="10"/>
        <v>976</v>
      </c>
      <c r="L102" s="138"/>
      <c r="M102" s="139" t="str">
        <f t="shared" si="7"/>
        <v>DE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 t="str">
        <f t="shared" si="6"/>
        <v>320808-5833</v>
      </c>
      <c r="C103" s="136"/>
      <c r="D103" s="136"/>
      <c r="E103" s="136"/>
      <c r="F103" s="136"/>
      <c r="G103" s="136"/>
      <c r="H103" s="137">
        <f t="shared" si="9"/>
        <v>8</v>
      </c>
      <c r="I103" s="137"/>
      <c r="J103" s="137"/>
      <c r="K103" s="138">
        <f t="shared" si="10"/>
        <v>182</v>
      </c>
      <c r="L103" s="138"/>
      <c r="M103" s="139" t="str">
        <f t="shared" si="7"/>
        <v>BE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 t="str">
        <f t="shared" si="6"/>
        <v>307395-5832</v>
      </c>
      <c r="C104" s="136"/>
      <c r="D104" s="136"/>
      <c r="E104" s="136"/>
      <c r="F104" s="136"/>
      <c r="G104" s="136"/>
      <c r="H104" s="137">
        <f t="shared" si="9"/>
        <v>6</v>
      </c>
      <c r="I104" s="137"/>
      <c r="J104" s="137"/>
      <c r="K104" s="138">
        <f t="shared" si="10"/>
        <v>481</v>
      </c>
      <c r="L104" s="138"/>
      <c r="M104" s="139" t="str">
        <f t="shared" si="7"/>
        <v xml:space="preserve">BED.M.TA 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269</v>
      </c>
      <c r="I115" s="156"/>
      <c r="J115" s="157"/>
      <c r="K115" s="158">
        <f>SUM(K95:L114)</f>
        <v>18181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MD.OHEDULLA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01875-171707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OOOO3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D.M.TA 13-0867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O528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523764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Summit Alliance Port Limited (OCL).
Katghar, North Patenga, Chitagong.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1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297318-5828</v>
      </c>
      <c r="C135" s="146"/>
      <c r="D135" s="146"/>
      <c r="E135" s="146"/>
      <c r="F135" s="146"/>
      <c r="G135" s="146"/>
      <c r="H135" s="187">
        <f>H95</f>
        <v>40</v>
      </c>
      <c r="I135" s="188"/>
      <c r="J135" s="189"/>
      <c r="K135" s="190">
        <f>K95</f>
        <v>2055</v>
      </c>
      <c r="L135" s="191"/>
      <c r="M135" s="133" t="str">
        <f>M95</f>
        <v>DE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297321-5828</v>
      </c>
      <c r="C136" s="136"/>
      <c r="D136" s="136"/>
      <c r="E136" s="136"/>
      <c r="F136" s="136"/>
      <c r="G136" s="136"/>
      <c r="H136" s="179">
        <f>H96</f>
        <v>68</v>
      </c>
      <c r="I136" s="180"/>
      <c r="J136" s="181"/>
      <c r="K136" s="182">
        <f>K96</f>
        <v>3537</v>
      </c>
      <c r="L136" s="183"/>
      <c r="M136" s="184" t="str">
        <f>M96</f>
        <v>DE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323659-5832</v>
      </c>
      <c r="C137" s="136"/>
      <c r="D137" s="136"/>
      <c r="E137" s="136"/>
      <c r="F137" s="136"/>
      <c r="G137" s="136"/>
      <c r="H137" s="179">
        <f>H97</f>
        <v>1</v>
      </c>
      <c r="I137" s="180"/>
      <c r="J137" s="181"/>
      <c r="K137" s="182">
        <f>K97</f>
        <v>77</v>
      </c>
      <c r="L137" s="183"/>
      <c r="M137" s="184" t="str">
        <f t="shared" ref="M137:M154" si="13">M97</f>
        <v>OFESW267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318268-5832</v>
      </c>
      <c r="C138" s="136"/>
      <c r="D138" s="136"/>
      <c r="E138" s="136"/>
      <c r="F138" s="136"/>
      <c r="G138" s="136"/>
      <c r="H138" s="179">
        <f t="shared" ref="H138:H154" si="15">H98</f>
        <v>69</v>
      </c>
      <c r="I138" s="180"/>
      <c r="J138" s="181"/>
      <c r="K138" s="182">
        <f t="shared" ref="K138:K154" si="16">K98</f>
        <v>7155</v>
      </c>
      <c r="L138" s="183"/>
      <c r="M138" s="184" t="str">
        <f t="shared" si="13"/>
        <v>BE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307398-5832</v>
      </c>
      <c r="C139" s="136"/>
      <c r="D139" s="136"/>
      <c r="E139" s="136"/>
      <c r="F139" s="136"/>
      <c r="G139" s="136"/>
      <c r="H139" s="179">
        <f t="shared" si="15"/>
        <v>22</v>
      </c>
      <c r="I139" s="180"/>
      <c r="J139" s="181"/>
      <c r="K139" s="182">
        <f t="shared" si="16"/>
        <v>1628</v>
      </c>
      <c r="L139" s="183"/>
      <c r="M139" s="184" t="str">
        <f t="shared" si="13"/>
        <v>DE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318814-7952</v>
      </c>
      <c r="C140" s="136"/>
      <c r="D140" s="136"/>
      <c r="E140" s="136"/>
      <c r="F140" s="136"/>
      <c r="G140" s="136"/>
      <c r="H140" s="179">
        <f t="shared" si="15"/>
        <v>21</v>
      </c>
      <c r="I140" s="180"/>
      <c r="J140" s="181"/>
      <c r="K140" s="182">
        <f t="shared" si="16"/>
        <v>1513</v>
      </c>
      <c r="L140" s="183"/>
      <c r="M140" s="184" t="str">
        <f t="shared" si="13"/>
        <v>DE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309266-5828</v>
      </c>
      <c r="C141" s="136"/>
      <c r="D141" s="136"/>
      <c r="E141" s="136"/>
      <c r="F141" s="136"/>
      <c r="G141" s="136"/>
      <c r="H141" s="179">
        <f t="shared" si="15"/>
        <v>13</v>
      </c>
      <c r="I141" s="180"/>
      <c r="J141" s="181"/>
      <c r="K141" s="182">
        <f t="shared" si="16"/>
        <v>577</v>
      </c>
      <c r="L141" s="183"/>
      <c r="M141" s="184" t="str">
        <f t="shared" si="13"/>
        <v>DE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 t="str">
        <f t="shared" si="12"/>
        <v>318091-5828</v>
      </c>
      <c r="C142" s="136"/>
      <c r="D142" s="136"/>
      <c r="E142" s="136"/>
      <c r="F142" s="136"/>
      <c r="G142" s="136"/>
      <c r="H142" s="179">
        <f t="shared" si="15"/>
        <v>21</v>
      </c>
      <c r="I142" s="180"/>
      <c r="J142" s="181"/>
      <c r="K142" s="182">
        <f t="shared" si="16"/>
        <v>976</v>
      </c>
      <c r="L142" s="183"/>
      <c r="M142" s="184" t="str">
        <f t="shared" si="13"/>
        <v>DE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 t="str">
        <f t="shared" si="12"/>
        <v>320808-5833</v>
      </c>
      <c r="C143" s="136"/>
      <c r="D143" s="136"/>
      <c r="E143" s="136"/>
      <c r="F143" s="136"/>
      <c r="G143" s="136"/>
      <c r="H143" s="179">
        <f t="shared" si="15"/>
        <v>8</v>
      </c>
      <c r="I143" s="180"/>
      <c r="J143" s="181"/>
      <c r="K143" s="182">
        <f t="shared" si="16"/>
        <v>182</v>
      </c>
      <c r="L143" s="183"/>
      <c r="M143" s="184" t="str">
        <f t="shared" si="13"/>
        <v>BE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 t="str">
        <f t="shared" si="12"/>
        <v>307395-5832</v>
      </c>
      <c r="C144" s="136"/>
      <c r="D144" s="136"/>
      <c r="E144" s="136"/>
      <c r="F144" s="136"/>
      <c r="G144" s="136"/>
      <c r="H144" s="179">
        <f t="shared" si="15"/>
        <v>6</v>
      </c>
      <c r="I144" s="180"/>
      <c r="J144" s="181"/>
      <c r="K144" s="182">
        <f t="shared" si="16"/>
        <v>481</v>
      </c>
      <c r="L144" s="183"/>
      <c r="M144" s="184" t="str">
        <f t="shared" si="13"/>
        <v xml:space="preserve">BED.M.TA 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269</v>
      </c>
      <c r="I155" s="195"/>
      <c r="J155" s="196"/>
      <c r="K155" s="158">
        <f>SUM(K135:L154)</f>
        <v>18181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MD.OHEDULLA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01875-171707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OOOO3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D.M.TA 13-0867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L8:P8 L48:P48 L88:P88 L128:P128" xr:uid="{480DBB21-C146-4748-80B0-6381F9710F34}">
      <formula1>Mode</formula1>
    </dataValidation>
    <dataValidation type="list" allowBlank="1" showInputMessage="1" showErrorMessage="1" sqref="A8 A48 A88 A128" xr:uid="{43EA37EA-3D66-4DAE-9348-42CEB088CA4C}">
      <formula1>$T$7:$T$35</formula1>
    </dataValidation>
    <dataValidation type="list" allowBlank="1" showInputMessage="1" showErrorMessage="1" sqref="L9:P11 L49:P51 L89:P91 L129:P131" xr:uid="{932CD4A3-420A-4B4F-8D04-7A377812E910}">
      <formula1>Carrier</formula1>
    </dataValidation>
    <dataValidation type="list" allowBlank="1" showInputMessage="1" showErrorMessage="1" sqref="C14:D14 C94:D94 C54:D54 C134:D134" xr:uid="{62220BC0-A813-471F-95CC-43852BEC804F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5967-5EA4-41B0-92D3-DF092B825BA0}">
  <sheetPr>
    <tabColor rgb="FF00B050"/>
  </sheetPr>
  <dimension ref="A1:Y168"/>
  <sheetViews>
    <sheetView view="pageBreakPreview" topLeftCell="A16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181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252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236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253</v>
      </c>
      <c r="C15" s="146"/>
      <c r="D15" s="146"/>
      <c r="E15" s="146"/>
      <c r="F15" s="146"/>
      <c r="G15" s="146"/>
      <c r="H15" s="147">
        <v>9</v>
      </c>
      <c r="I15" s="148"/>
      <c r="J15" s="149"/>
      <c r="K15" s="150">
        <v>466</v>
      </c>
      <c r="L15" s="151"/>
      <c r="M15" s="133" t="s">
        <v>254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255</v>
      </c>
      <c r="C16" s="136"/>
      <c r="D16" s="136"/>
      <c r="E16" s="136"/>
      <c r="F16" s="136"/>
      <c r="G16" s="136"/>
      <c r="H16" s="137">
        <v>104</v>
      </c>
      <c r="I16" s="137"/>
      <c r="J16" s="137"/>
      <c r="K16" s="138">
        <v>5414</v>
      </c>
      <c r="L16" s="138"/>
      <c r="M16" s="139" t="s">
        <v>239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122</v>
      </c>
      <c r="C17" s="136"/>
      <c r="D17" s="136"/>
      <c r="E17" s="136"/>
      <c r="F17" s="136"/>
      <c r="G17" s="136"/>
      <c r="H17" s="137">
        <v>2</v>
      </c>
      <c r="I17" s="137"/>
      <c r="J17" s="137"/>
      <c r="K17" s="138">
        <v>84</v>
      </c>
      <c r="L17" s="138"/>
      <c r="M17" s="139" t="s">
        <v>254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256</v>
      </c>
      <c r="C18" s="136"/>
      <c r="D18" s="136"/>
      <c r="E18" s="136"/>
      <c r="F18" s="136"/>
      <c r="G18" s="136"/>
      <c r="H18" s="137">
        <v>3</v>
      </c>
      <c r="I18" s="137"/>
      <c r="J18" s="137"/>
      <c r="K18" s="138">
        <v>129</v>
      </c>
      <c r="L18" s="138"/>
      <c r="M18" s="139" t="s">
        <v>254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/>
      <c r="I19" s="137"/>
      <c r="J19" s="137"/>
      <c r="K19" s="138"/>
      <c r="L19" s="138"/>
      <c r="M19" s="139"/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/>
      <c r="I20" s="137"/>
      <c r="J20" s="137"/>
      <c r="K20" s="138"/>
      <c r="L20" s="138"/>
      <c r="M20" s="152"/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/>
      <c r="I21" s="137"/>
      <c r="J21" s="137"/>
      <c r="K21" s="138"/>
      <c r="L21" s="138"/>
      <c r="M21" s="139"/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118</v>
      </c>
      <c r="I35" s="156"/>
      <c r="J35" s="157"/>
      <c r="K35" s="158">
        <f>SUM(K15:L34)</f>
        <v>6093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260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258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259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257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O529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523766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Summit Alliance Port Limited (OCL).
Katghar, North Patenga, Chitagong.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1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309497-5828</v>
      </c>
      <c r="C55" s="146"/>
      <c r="D55" s="146"/>
      <c r="E55" s="146"/>
      <c r="F55" s="146"/>
      <c r="G55" s="146"/>
      <c r="H55" s="147">
        <f>H15</f>
        <v>9</v>
      </c>
      <c r="I55" s="148"/>
      <c r="J55" s="149"/>
      <c r="K55" s="150">
        <f>K15</f>
        <v>466</v>
      </c>
      <c r="L55" s="151"/>
      <c r="M55" s="133" t="str">
        <f>M15</f>
        <v>OF ESW267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297320-5828</v>
      </c>
      <c r="C56" s="136"/>
      <c r="D56" s="136"/>
      <c r="E56" s="136"/>
      <c r="F56" s="136"/>
      <c r="G56" s="136"/>
      <c r="H56" s="137">
        <f>H16</f>
        <v>104</v>
      </c>
      <c r="I56" s="137"/>
      <c r="J56" s="137"/>
      <c r="K56" s="138">
        <f>K16</f>
        <v>5414</v>
      </c>
      <c r="L56" s="138"/>
      <c r="M56" s="139" t="str">
        <f t="shared" ref="M56:M74" si="0">M16</f>
        <v>DE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315866-5832</v>
      </c>
      <c r="C57" s="136"/>
      <c r="D57" s="136"/>
      <c r="E57" s="136"/>
      <c r="F57" s="136"/>
      <c r="G57" s="136"/>
      <c r="H57" s="137">
        <f>H17</f>
        <v>2</v>
      </c>
      <c r="I57" s="137"/>
      <c r="J57" s="137"/>
      <c r="K57" s="138">
        <f>K17</f>
        <v>84</v>
      </c>
      <c r="L57" s="138"/>
      <c r="M57" s="139" t="str">
        <f t="shared" si="0"/>
        <v>OF ESW267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319464-5832</v>
      </c>
      <c r="C58" s="136"/>
      <c r="D58" s="136"/>
      <c r="E58" s="136"/>
      <c r="F58" s="136"/>
      <c r="G58" s="136"/>
      <c r="H58" s="137">
        <f t="shared" ref="H58:H74" si="3">H18</f>
        <v>3</v>
      </c>
      <c r="I58" s="137"/>
      <c r="J58" s="137"/>
      <c r="K58" s="138">
        <f t="shared" ref="K58:K74" si="4">K18</f>
        <v>129</v>
      </c>
      <c r="L58" s="138"/>
      <c r="M58" s="139" t="str">
        <f t="shared" si="0"/>
        <v>OF ESW267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>
        <f t="shared" si="1"/>
        <v>0</v>
      </c>
      <c r="C59" s="136"/>
      <c r="D59" s="136"/>
      <c r="E59" s="136"/>
      <c r="F59" s="136"/>
      <c r="G59" s="136"/>
      <c r="H59" s="137">
        <f t="shared" si="3"/>
        <v>0</v>
      </c>
      <c r="I59" s="137"/>
      <c r="J59" s="137"/>
      <c r="K59" s="138">
        <f t="shared" si="4"/>
        <v>0</v>
      </c>
      <c r="L59" s="138"/>
      <c r="M59" s="139">
        <f t="shared" si="0"/>
        <v>0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>
        <f t="shared" si="1"/>
        <v>0</v>
      </c>
      <c r="C60" s="136"/>
      <c r="D60" s="136"/>
      <c r="E60" s="136"/>
      <c r="F60" s="136"/>
      <c r="G60" s="136"/>
      <c r="H60" s="137">
        <f t="shared" si="3"/>
        <v>0</v>
      </c>
      <c r="I60" s="137"/>
      <c r="J60" s="137"/>
      <c r="K60" s="138">
        <f t="shared" si="4"/>
        <v>0</v>
      </c>
      <c r="L60" s="138"/>
      <c r="M60" s="139">
        <f t="shared" si="0"/>
        <v>0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>
        <f t="shared" si="1"/>
        <v>0</v>
      </c>
      <c r="C61" s="136"/>
      <c r="D61" s="136"/>
      <c r="E61" s="136"/>
      <c r="F61" s="136"/>
      <c r="G61" s="136"/>
      <c r="H61" s="137">
        <f t="shared" si="3"/>
        <v>0</v>
      </c>
      <c r="I61" s="137"/>
      <c r="J61" s="137"/>
      <c r="K61" s="138">
        <f t="shared" si="4"/>
        <v>0</v>
      </c>
      <c r="L61" s="138"/>
      <c r="M61" s="139">
        <f t="shared" si="0"/>
        <v>0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118</v>
      </c>
      <c r="I75" s="156"/>
      <c r="J75" s="157"/>
      <c r="K75" s="158">
        <f>SUM(K55:L74)</f>
        <v>6093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MD.SHOJOL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01608-806888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OOOO1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C.M.TA 11-9518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O529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523766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Summit Alliance Port Limited (OCL).
Katghar, North Patenga, Chitagong.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1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309497-5828</v>
      </c>
      <c r="C95" s="146"/>
      <c r="D95" s="146"/>
      <c r="E95" s="146"/>
      <c r="F95" s="146"/>
      <c r="G95" s="146"/>
      <c r="H95" s="147">
        <f>H55</f>
        <v>9</v>
      </c>
      <c r="I95" s="148"/>
      <c r="J95" s="149"/>
      <c r="K95" s="150">
        <f>K55</f>
        <v>466</v>
      </c>
      <c r="L95" s="151"/>
      <c r="M95" s="133" t="str">
        <f>M55</f>
        <v>OF ESW267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297320-5828</v>
      </c>
      <c r="C96" s="136"/>
      <c r="D96" s="136"/>
      <c r="E96" s="136"/>
      <c r="F96" s="136"/>
      <c r="G96" s="136"/>
      <c r="H96" s="137">
        <f>H56</f>
        <v>104</v>
      </c>
      <c r="I96" s="137"/>
      <c r="J96" s="137"/>
      <c r="K96" s="138">
        <f>K56</f>
        <v>5414</v>
      </c>
      <c r="L96" s="138"/>
      <c r="M96" s="139" t="str">
        <f>M56</f>
        <v>DE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315866-5832</v>
      </c>
      <c r="C97" s="136"/>
      <c r="D97" s="136"/>
      <c r="E97" s="136"/>
      <c r="F97" s="136"/>
      <c r="G97" s="136"/>
      <c r="H97" s="137">
        <f>H57</f>
        <v>2</v>
      </c>
      <c r="I97" s="137"/>
      <c r="J97" s="137"/>
      <c r="K97" s="138">
        <f>K57</f>
        <v>84</v>
      </c>
      <c r="L97" s="138"/>
      <c r="M97" s="139" t="str">
        <f t="shared" ref="M97:M114" si="7">M57</f>
        <v>OF ESW267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319464-5832</v>
      </c>
      <c r="C98" s="136"/>
      <c r="D98" s="136"/>
      <c r="E98" s="136"/>
      <c r="F98" s="136"/>
      <c r="G98" s="136"/>
      <c r="H98" s="137">
        <f t="shared" ref="H98:H114" si="9">H58</f>
        <v>3</v>
      </c>
      <c r="I98" s="137"/>
      <c r="J98" s="137"/>
      <c r="K98" s="138">
        <f t="shared" ref="K98:K114" si="10">K58</f>
        <v>129</v>
      </c>
      <c r="L98" s="138"/>
      <c r="M98" s="139" t="str">
        <f t="shared" si="7"/>
        <v>OF ESW267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0</v>
      </c>
      <c r="I99" s="137"/>
      <c r="J99" s="137"/>
      <c r="K99" s="138">
        <f t="shared" si="10"/>
        <v>0</v>
      </c>
      <c r="L99" s="138"/>
      <c r="M99" s="139">
        <f t="shared" si="7"/>
        <v>0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0</v>
      </c>
      <c r="I100" s="137"/>
      <c r="J100" s="137"/>
      <c r="K100" s="138">
        <f t="shared" si="10"/>
        <v>0</v>
      </c>
      <c r="L100" s="138"/>
      <c r="M100" s="139">
        <f t="shared" si="7"/>
        <v>0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0</v>
      </c>
      <c r="I101" s="137"/>
      <c r="J101" s="137"/>
      <c r="K101" s="138">
        <f t="shared" si="10"/>
        <v>0</v>
      </c>
      <c r="L101" s="138"/>
      <c r="M101" s="139">
        <f t="shared" si="7"/>
        <v>0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118</v>
      </c>
      <c r="I115" s="156"/>
      <c r="J115" s="157"/>
      <c r="K115" s="158">
        <f>SUM(K95:L114)</f>
        <v>6093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MD.SHOJOL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01608-806888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OOOO1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C.M.TA 11-9518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O529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523766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Summit Alliance Port Limited (OCL).
Katghar, North Patenga, Chitagong.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1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309497-5828</v>
      </c>
      <c r="C135" s="146"/>
      <c r="D135" s="146"/>
      <c r="E135" s="146"/>
      <c r="F135" s="146"/>
      <c r="G135" s="146"/>
      <c r="H135" s="187">
        <f>H95</f>
        <v>9</v>
      </c>
      <c r="I135" s="188"/>
      <c r="J135" s="189"/>
      <c r="K135" s="190">
        <f>K95</f>
        <v>466</v>
      </c>
      <c r="L135" s="191"/>
      <c r="M135" s="133" t="str">
        <f>M95</f>
        <v>OF ESW267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297320-5828</v>
      </c>
      <c r="C136" s="136"/>
      <c r="D136" s="136"/>
      <c r="E136" s="136"/>
      <c r="F136" s="136"/>
      <c r="G136" s="136"/>
      <c r="H136" s="179">
        <f>H96</f>
        <v>104</v>
      </c>
      <c r="I136" s="180"/>
      <c r="J136" s="181"/>
      <c r="K136" s="182">
        <f>K96</f>
        <v>5414</v>
      </c>
      <c r="L136" s="183"/>
      <c r="M136" s="184" t="str">
        <f>M96</f>
        <v>DE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315866-5832</v>
      </c>
      <c r="C137" s="136"/>
      <c r="D137" s="136"/>
      <c r="E137" s="136"/>
      <c r="F137" s="136"/>
      <c r="G137" s="136"/>
      <c r="H137" s="179">
        <f>H97</f>
        <v>2</v>
      </c>
      <c r="I137" s="180"/>
      <c r="J137" s="181"/>
      <c r="K137" s="182">
        <f>K97</f>
        <v>84</v>
      </c>
      <c r="L137" s="183"/>
      <c r="M137" s="184" t="str">
        <f t="shared" ref="M137:M154" si="13">M97</f>
        <v>OF ESW267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319464-5832</v>
      </c>
      <c r="C138" s="136"/>
      <c r="D138" s="136"/>
      <c r="E138" s="136"/>
      <c r="F138" s="136"/>
      <c r="G138" s="136"/>
      <c r="H138" s="179">
        <f t="shared" ref="H138:H154" si="15">H98</f>
        <v>3</v>
      </c>
      <c r="I138" s="180"/>
      <c r="J138" s="181"/>
      <c r="K138" s="182">
        <f t="shared" ref="K138:K154" si="16">K98</f>
        <v>129</v>
      </c>
      <c r="L138" s="183"/>
      <c r="M138" s="184" t="str">
        <f t="shared" si="13"/>
        <v>OF ESW267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0</v>
      </c>
      <c r="I139" s="180"/>
      <c r="J139" s="181"/>
      <c r="K139" s="182">
        <f t="shared" si="16"/>
        <v>0</v>
      </c>
      <c r="L139" s="183"/>
      <c r="M139" s="184">
        <f t="shared" si="13"/>
        <v>0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0</v>
      </c>
      <c r="I140" s="180"/>
      <c r="J140" s="181"/>
      <c r="K140" s="182">
        <f t="shared" si="16"/>
        <v>0</v>
      </c>
      <c r="L140" s="183"/>
      <c r="M140" s="184">
        <f t="shared" si="13"/>
        <v>0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0</v>
      </c>
      <c r="I141" s="180"/>
      <c r="J141" s="181"/>
      <c r="K141" s="182">
        <f t="shared" si="16"/>
        <v>0</v>
      </c>
      <c r="L141" s="183"/>
      <c r="M141" s="184">
        <f t="shared" si="13"/>
        <v>0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118</v>
      </c>
      <c r="I155" s="195"/>
      <c r="J155" s="196"/>
      <c r="K155" s="158">
        <f>SUM(K135:L154)</f>
        <v>6093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MD.SHOJOL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01608-806888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OOOO1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C.M.TA 11-9518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C14:D14 C94:D94 C54:D54 C134:D134" xr:uid="{BC1D5526-5A4A-4D6D-90FD-EF666FEC90EF}">
      <formula1>$W$7:$W$161</formula1>
    </dataValidation>
    <dataValidation type="list" allowBlank="1" showInputMessage="1" showErrorMessage="1" sqref="L9:P11 L49:P51 L89:P91 L129:P131" xr:uid="{A7A3EEFC-65B2-4513-BF7C-237535C76BF1}">
      <formula1>Carrier</formula1>
    </dataValidation>
    <dataValidation type="list" allowBlank="1" showInputMessage="1" showErrorMessage="1" sqref="A8 A48 A88 A128" xr:uid="{204AE98B-09FF-421B-8D7B-031F1CB180B3}">
      <formula1>$T$7:$T$35</formula1>
    </dataValidation>
    <dataValidation type="list" allowBlank="1" showInputMessage="1" showErrorMessage="1" sqref="L8:P8 L48:P48 L88:P88 L128:P128" xr:uid="{EF9A78A0-BD72-4D07-BE85-8D72F6784D26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749D-388D-4584-B6D4-C7DF219F76AD}">
  <sheetPr>
    <tabColor rgb="FF00B050"/>
  </sheetPr>
  <dimension ref="A1:Y168"/>
  <sheetViews>
    <sheetView view="pageBreakPreview" topLeftCell="A4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182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262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261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145</v>
      </c>
      <c r="C15" s="146"/>
      <c r="D15" s="146"/>
      <c r="E15" s="146"/>
      <c r="F15" s="146"/>
      <c r="G15" s="146"/>
      <c r="H15" s="147">
        <v>4</v>
      </c>
      <c r="I15" s="148"/>
      <c r="J15" s="149"/>
      <c r="K15" s="150">
        <v>174</v>
      </c>
      <c r="L15" s="151"/>
      <c r="M15" s="133" t="s">
        <v>263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215</v>
      </c>
      <c r="C16" s="136"/>
      <c r="D16" s="136"/>
      <c r="E16" s="136"/>
      <c r="F16" s="136"/>
      <c r="G16" s="136"/>
      <c r="H16" s="137">
        <v>2</v>
      </c>
      <c r="I16" s="137"/>
      <c r="J16" s="137"/>
      <c r="K16" s="138">
        <v>69</v>
      </c>
      <c r="L16" s="138"/>
      <c r="M16" s="139" t="s">
        <v>264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147</v>
      </c>
      <c r="C17" s="136"/>
      <c r="D17" s="136"/>
      <c r="E17" s="136"/>
      <c r="F17" s="136"/>
      <c r="G17" s="136"/>
      <c r="H17" s="137">
        <v>87</v>
      </c>
      <c r="I17" s="137"/>
      <c r="J17" s="137"/>
      <c r="K17" s="138">
        <v>8978</v>
      </c>
      <c r="L17" s="138"/>
      <c r="M17" s="139" t="s">
        <v>265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115</v>
      </c>
      <c r="C18" s="136"/>
      <c r="D18" s="136"/>
      <c r="E18" s="136"/>
      <c r="F18" s="136"/>
      <c r="G18" s="136"/>
      <c r="H18" s="137">
        <v>9</v>
      </c>
      <c r="I18" s="137"/>
      <c r="J18" s="137"/>
      <c r="K18" s="138">
        <v>599</v>
      </c>
      <c r="L18" s="138"/>
      <c r="M18" s="139" t="s">
        <v>266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117</v>
      </c>
      <c r="C19" s="136"/>
      <c r="D19" s="136"/>
      <c r="E19" s="136"/>
      <c r="F19" s="136"/>
      <c r="G19" s="136"/>
      <c r="H19" s="137">
        <v>9</v>
      </c>
      <c r="I19" s="137"/>
      <c r="J19" s="137"/>
      <c r="K19" s="138">
        <v>609</v>
      </c>
      <c r="L19" s="138"/>
      <c r="M19" s="139" t="s">
        <v>266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150</v>
      </c>
      <c r="C20" s="136"/>
      <c r="D20" s="136"/>
      <c r="E20" s="136"/>
      <c r="F20" s="136"/>
      <c r="G20" s="136"/>
      <c r="H20" s="137">
        <v>1</v>
      </c>
      <c r="I20" s="137"/>
      <c r="J20" s="137"/>
      <c r="K20" s="138">
        <v>72</v>
      </c>
      <c r="L20" s="138"/>
      <c r="M20" s="152" t="s">
        <v>267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229</v>
      </c>
      <c r="C21" s="136"/>
      <c r="D21" s="136"/>
      <c r="E21" s="136"/>
      <c r="F21" s="136"/>
      <c r="G21" s="136"/>
      <c r="H21" s="137">
        <v>1</v>
      </c>
      <c r="I21" s="137"/>
      <c r="J21" s="137"/>
      <c r="K21" s="138">
        <v>94</v>
      </c>
      <c r="L21" s="138"/>
      <c r="M21" s="139" t="s">
        <v>264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 t="s">
        <v>223</v>
      </c>
      <c r="C22" s="136"/>
      <c r="D22" s="136"/>
      <c r="E22" s="136"/>
      <c r="F22" s="136"/>
      <c r="G22" s="136"/>
      <c r="H22" s="137">
        <v>1</v>
      </c>
      <c r="I22" s="137"/>
      <c r="J22" s="137"/>
      <c r="K22" s="138">
        <v>21</v>
      </c>
      <c r="L22" s="138"/>
      <c r="M22" s="139" t="s">
        <v>264</v>
      </c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 t="s">
        <v>135</v>
      </c>
      <c r="C23" s="136"/>
      <c r="D23" s="136"/>
      <c r="E23" s="136"/>
      <c r="F23" s="136"/>
      <c r="G23" s="136"/>
      <c r="H23" s="137">
        <v>9</v>
      </c>
      <c r="I23" s="137"/>
      <c r="J23" s="137"/>
      <c r="K23" s="138">
        <v>384</v>
      </c>
      <c r="L23" s="138"/>
      <c r="M23" s="139" t="s">
        <v>266</v>
      </c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 t="s">
        <v>149</v>
      </c>
      <c r="C24" s="136"/>
      <c r="D24" s="136"/>
      <c r="E24" s="136"/>
      <c r="F24" s="136"/>
      <c r="G24" s="136"/>
      <c r="H24" s="137">
        <v>1</v>
      </c>
      <c r="I24" s="137"/>
      <c r="J24" s="137"/>
      <c r="K24" s="138">
        <v>33</v>
      </c>
      <c r="L24" s="138"/>
      <c r="M24" s="139" t="s">
        <v>267</v>
      </c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 t="s">
        <v>268</v>
      </c>
      <c r="C25" s="136"/>
      <c r="D25" s="136"/>
      <c r="E25" s="136"/>
      <c r="F25" s="136"/>
      <c r="G25" s="136"/>
      <c r="H25" s="137">
        <v>1</v>
      </c>
      <c r="I25" s="137"/>
      <c r="J25" s="137"/>
      <c r="K25" s="138">
        <v>10</v>
      </c>
      <c r="L25" s="138"/>
      <c r="M25" s="139" t="s">
        <v>264</v>
      </c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 t="s">
        <v>227</v>
      </c>
      <c r="C26" s="136"/>
      <c r="D26" s="136"/>
      <c r="E26" s="136"/>
      <c r="F26" s="136"/>
      <c r="G26" s="136"/>
      <c r="H26" s="137">
        <v>1</v>
      </c>
      <c r="I26" s="137"/>
      <c r="J26" s="137"/>
      <c r="K26" s="138">
        <v>38</v>
      </c>
      <c r="L26" s="138"/>
      <c r="M26" s="139" t="s">
        <v>264</v>
      </c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 t="s">
        <v>152</v>
      </c>
      <c r="C27" s="136"/>
      <c r="D27" s="136"/>
      <c r="E27" s="136"/>
      <c r="F27" s="136"/>
      <c r="G27" s="136"/>
      <c r="H27" s="137">
        <v>33</v>
      </c>
      <c r="I27" s="137"/>
      <c r="J27" s="137"/>
      <c r="K27" s="138">
        <v>2446</v>
      </c>
      <c r="L27" s="138"/>
      <c r="M27" s="139" t="s">
        <v>269</v>
      </c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 t="s">
        <v>270</v>
      </c>
      <c r="C28" s="136"/>
      <c r="D28" s="136"/>
      <c r="E28" s="136"/>
      <c r="F28" s="136"/>
      <c r="G28" s="136"/>
      <c r="H28" s="137">
        <v>49</v>
      </c>
      <c r="I28" s="137"/>
      <c r="J28" s="137"/>
      <c r="K28" s="138">
        <v>2469</v>
      </c>
      <c r="L28" s="138"/>
      <c r="M28" s="139" t="s">
        <v>266</v>
      </c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 t="s">
        <v>271</v>
      </c>
      <c r="C29" s="136"/>
      <c r="D29" s="136"/>
      <c r="E29" s="136"/>
      <c r="F29" s="136"/>
      <c r="G29" s="136"/>
      <c r="H29" s="137">
        <v>1</v>
      </c>
      <c r="I29" s="137"/>
      <c r="J29" s="137"/>
      <c r="K29" s="138">
        <v>30</v>
      </c>
      <c r="L29" s="138"/>
      <c r="M29" s="139" t="s">
        <v>264</v>
      </c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 t="s">
        <v>144</v>
      </c>
      <c r="C30" s="136"/>
      <c r="D30" s="136"/>
      <c r="E30" s="136"/>
      <c r="F30" s="136"/>
      <c r="G30" s="136"/>
      <c r="H30" s="137">
        <v>43</v>
      </c>
      <c r="I30" s="137"/>
      <c r="J30" s="137"/>
      <c r="K30" s="138">
        <v>3040</v>
      </c>
      <c r="L30" s="138"/>
      <c r="M30" s="197" t="s">
        <v>272</v>
      </c>
      <c r="N30" s="197"/>
      <c r="O30" s="197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 t="s">
        <v>199</v>
      </c>
      <c r="C31" s="136"/>
      <c r="D31" s="136"/>
      <c r="E31" s="136"/>
      <c r="F31" s="136"/>
      <c r="G31" s="136"/>
      <c r="H31" s="137">
        <v>1</v>
      </c>
      <c r="I31" s="137"/>
      <c r="J31" s="137"/>
      <c r="K31" s="138">
        <v>11</v>
      </c>
      <c r="L31" s="138"/>
      <c r="M31" s="139" t="s">
        <v>264</v>
      </c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 t="s">
        <v>140</v>
      </c>
      <c r="C32" s="136"/>
      <c r="D32" s="136"/>
      <c r="E32" s="136"/>
      <c r="F32" s="136"/>
      <c r="G32" s="136"/>
      <c r="H32" s="137">
        <v>28</v>
      </c>
      <c r="I32" s="137"/>
      <c r="J32" s="137"/>
      <c r="K32" s="138">
        <v>1664</v>
      </c>
      <c r="L32" s="138"/>
      <c r="M32" s="139" t="s">
        <v>266</v>
      </c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 t="s">
        <v>273</v>
      </c>
      <c r="C33" s="136"/>
      <c r="D33" s="136"/>
      <c r="E33" s="136"/>
      <c r="F33" s="136"/>
      <c r="G33" s="136"/>
      <c r="H33" s="137">
        <v>1</v>
      </c>
      <c r="I33" s="137"/>
      <c r="J33" s="137"/>
      <c r="K33" s="138">
        <v>27</v>
      </c>
      <c r="L33" s="138"/>
      <c r="M33" s="139" t="s">
        <v>264</v>
      </c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 t="s">
        <v>197</v>
      </c>
      <c r="C34" s="136"/>
      <c r="D34" s="136"/>
      <c r="E34" s="136"/>
      <c r="F34" s="136"/>
      <c r="G34" s="136"/>
      <c r="H34" s="137">
        <v>1</v>
      </c>
      <c r="I34" s="137"/>
      <c r="J34" s="137"/>
      <c r="K34" s="138">
        <v>11</v>
      </c>
      <c r="L34" s="138"/>
      <c r="M34" s="139" t="s">
        <v>264</v>
      </c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283</v>
      </c>
      <c r="I35" s="156"/>
      <c r="J35" s="157"/>
      <c r="K35" s="158">
        <f>SUM(K15:L34)</f>
        <v>20779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279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277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278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276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O530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523767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Vertex Off-Dock Logistics Services Ltd.
1443/1509, Old Airport Road, Katghar, North Patenga,
Chattogram 4204,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1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309764-7952</v>
      </c>
      <c r="C55" s="146"/>
      <c r="D55" s="146"/>
      <c r="E55" s="146"/>
      <c r="F55" s="146"/>
      <c r="G55" s="146"/>
      <c r="H55" s="147">
        <f>H15</f>
        <v>4</v>
      </c>
      <c r="I55" s="148"/>
      <c r="J55" s="149"/>
      <c r="K55" s="150">
        <f>K15</f>
        <v>174</v>
      </c>
      <c r="L55" s="151"/>
      <c r="M55" s="133" t="str">
        <f>M15</f>
        <v>OUSW068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296214-5832</v>
      </c>
      <c r="C56" s="136"/>
      <c r="D56" s="136"/>
      <c r="E56" s="136"/>
      <c r="F56" s="136"/>
      <c r="G56" s="136"/>
      <c r="H56" s="137">
        <f>H16</f>
        <v>2</v>
      </c>
      <c r="I56" s="137"/>
      <c r="J56" s="137"/>
      <c r="K56" s="138">
        <f>K16</f>
        <v>69</v>
      </c>
      <c r="L56" s="138"/>
      <c r="M56" s="139" t="str">
        <f t="shared" ref="M56:M74" si="0">M16</f>
        <v>EN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318268-5832</v>
      </c>
      <c r="C57" s="136"/>
      <c r="D57" s="136"/>
      <c r="E57" s="136"/>
      <c r="F57" s="136"/>
      <c r="G57" s="136"/>
      <c r="H57" s="137">
        <f>H17</f>
        <v>87</v>
      </c>
      <c r="I57" s="137"/>
      <c r="J57" s="137"/>
      <c r="K57" s="138">
        <f>K17</f>
        <v>8978</v>
      </c>
      <c r="L57" s="138"/>
      <c r="M57" s="139" t="str">
        <f t="shared" si="0"/>
        <v>USW022,USW304,DK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323690-5832</v>
      </c>
      <c r="C58" s="136"/>
      <c r="D58" s="136"/>
      <c r="E58" s="136"/>
      <c r="F58" s="136"/>
      <c r="G58" s="136"/>
      <c r="H58" s="137">
        <f t="shared" ref="H58:H74" si="3">H18</f>
        <v>9</v>
      </c>
      <c r="I58" s="137"/>
      <c r="J58" s="137"/>
      <c r="K58" s="138">
        <f t="shared" ref="K58:K74" si="4">K18</f>
        <v>599</v>
      </c>
      <c r="L58" s="138"/>
      <c r="M58" s="139" t="str">
        <f t="shared" si="0"/>
        <v>OUSW068,OUSW305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323673-5832</v>
      </c>
      <c r="C59" s="136"/>
      <c r="D59" s="136"/>
      <c r="E59" s="136"/>
      <c r="F59" s="136"/>
      <c r="G59" s="136"/>
      <c r="H59" s="137">
        <f t="shared" si="3"/>
        <v>9</v>
      </c>
      <c r="I59" s="137"/>
      <c r="J59" s="137"/>
      <c r="K59" s="138">
        <f t="shared" si="4"/>
        <v>609</v>
      </c>
      <c r="L59" s="138"/>
      <c r="M59" s="139" t="str">
        <f t="shared" si="0"/>
        <v>OUSW068,OUSW305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308094-5832</v>
      </c>
      <c r="C60" s="136"/>
      <c r="D60" s="136"/>
      <c r="E60" s="136"/>
      <c r="F60" s="136"/>
      <c r="G60" s="136"/>
      <c r="H60" s="137">
        <f t="shared" si="3"/>
        <v>1</v>
      </c>
      <c r="I60" s="137"/>
      <c r="J60" s="137"/>
      <c r="K60" s="138">
        <f t="shared" si="4"/>
        <v>72</v>
      </c>
      <c r="L60" s="138"/>
      <c r="M60" s="139" t="str">
        <f t="shared" si="0"/>
        <v>DK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300718-5832</v>
      </c>
      <c r="C61" s="136"/>
      <c r="D61" s="136"/>
      <c r="E61" s="136"/>
      <c r="F61" s="136"/>
      <c r="G61" s="136"/>
      <c r="H61" s="137">
        <f t="shared" si="3"/>
        <v>1</v>
      </c>
      <c r="I61" s="137"/>
      <c r="J61" s="137"/>
      <c r="K61" s="138">
        <f t="shared" si="4"/>
        <v>94</v>
      </c>
      <c r="L61" s="138"/>
      <c r="M61" s="139" t="str">
        <f t="shared" si="0"/>
        <v>EN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 t="str">
        <f t="shared" si="1"/>
        <v>300719-5832</v>
      </c>
      <c r="C62" s="136"/>
      <c r="D62" s="136"/>
      <c r="E62" s="136"/>
      <c r="F62" s="136"/>
      <c r="G62" s="136"/>
      <c r="H62" s="137">
        <f t="shared" si="3"/>
        <v>1</v>
      </c>
      <c r="I62" s="137"/>
      <c r="J62" s="137"/>
      <c r="K62" s="138">
        <f t="shared" si="4"/>
        <v>21</v>
      </c>
      <c r="L62" s="138"/>
      <c r="M62" s="139" t="str">
        <f t="shared" si="0"/>
        <v>EN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 t="str">
        <f t="shared" si="1"/>
        <v>323654-5832</v>
      </c>
      <c r="C63" s="136"/>
      <c r="D63" s="136"/>
      <c r="E63" s="136"/>
      <c r="F63" s="136"/>
      <c r="G63" s="136"/>
      <c r="H63" s="137">
        <f t="shared" si="3"/>
        <v>9</v>
      </c>
      <c r="I63" s="137"/>
      <c r="J63" s="137"/>
      <c r="K63" s="138">
        <f t="shared" si="4"/>
        <v>384</v>
      </c>
      <c r="L63" s="138"/>
      <c r="M63" s="139" t="str">
        <f t="shared" si="0"/>
        <v>OUSW068,OUSW305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 t="str">
        <f t="shared" si="1"/>
        <v>307395-5832</v>
      </c>
      <c r="C64" s="136"/>
      <c r="D64" s="136"/>
      <c r="E64" s="136"/>
      <c r="F64" s="136"/>
      <c r="G64" s="136"/>
      <c r="H64" s="137">
        <f t="shared" si="3"/>
        <v>1</v>
      </c>
      <c r="I64" s="137"/>
      <c r="J64" s="137"/>
      <c r="K64" s="138">
        <f t="shared" si="4"/>
        <v>33</v>
      </c>
      <c r="L64" s="138"/>
      <c r="M64" s="139" t="str">
        <f t="shared" si="0"/>
        <v>DK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 t="str">
        <f t="shared" si="1"/>
        <v>300626-5832</v>
      </c>
      <c r="C65" s="136"/>
      <c r="D65" s="136"/>
      <c r="E65" s="136"/>
      <c r="F65" s="136"/>
      <c r="G65" s="136"/>
      <c r="H65" s="137">
        <f t="shared" si="3"/>
        <v>1</v>
      </c>
      <c r="I65" s="137"/>
      <c r="J65" s="137"/>
      <c r="K65" s="138">
        <f t="shared" si="4"/>
        <v>10</v>
      </c>
      <c r="L65" s="138"/>
      <c r="M65" s="139" t="str">
        <f t="shared" si="0"/>
        <v>EN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 t="str">
        <f t="shared" si="1"/>
        <v>324414-5832</v>
      </c>
      <c r="C66" s="136"/>
      <c r="D66" s="136"/>
      <c r="E66" s="136"/>
      <c r="F66" s="136"/>
      <c r="G66" s="136"/>
      <c r="H66" s="137">
        <f t="shared" si="3"/>
        <v>1</v>
      </c>
      <c r="I66" s="137"/>
      <c r="J66" s="137"/>
      <c r="K66" s="138">
        <f t="shared" si="4"/>
        <v>38</v>
      </c>
      <c r="L66" s="138"/>
      <c r="M66" s="139" t="str">
        <f t="shared" si="0"/>
        <v>EN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 t="str">
        <f t="shared" si="1"/>
        <v>307398-5832</v>
      </c>
      <c r="C67" s="136"/>
      <c r="D67" s="136"/>
      <c r="E67" s="136"/>
      <c r="F67" s="136"/>
      <c r="G67" s="136"/>
      <c r="H67" s="137">
        <f t="shared" si="3"/>
        <v>33</v>
      </c>
      <c r="I67" s="137"/>
      <c r="J67" s="137"/>
      <c r="K67" s="138">
        <f t="shared" si="4"/>
        <v>2446</v>
      </c>
      <c r="L67" s="138"/>
      <c r="M67" s="139" t="str">
        <f t="shared" si="0"/>
        <v>USW022,USW304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 t="str">
        <f t="shared" si="1"/>
        <v>309643-5832</v>
      </c>
      <c r="C68" s="136"/>
      <c r="D68" s="136"/>
      <c r="E68" s="136"/>
      <c r="F68" s="136"/>
      <c r="G68" s="136"/>
      <c r="H68" s="137">
        <f t="shared" si="3"/>
        <v>49</v>
      </c>
      <c r="I68" s="137"/>
      <c r="J68" s="137"/>
      <c r="K68" s="138">
        <f t="shared" si="4"/>
        <v>2469</v>
      </c>
      <c r="L68" s="138"/>
      <c r="M68" s="139" t="str">
        <f t="shared" si="0"/>
        <v>OUSW068,OUSW305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 t="str">
        <f t="shared" si="1"/>
        <v>307355-5832</v>
      </c>
      <c r="C69" s="136"/>
      <c r="D69" s="136"/>
      <c r="E69" s="136"/>
      <c r="F69" s="136"/>
      <c r="G69" s="136"/>
      <c r="H69" s="137">
        <f t="shared" si="3"/>
        <v>1</v>
      </c>
      <c r="I69" s="137"/>
      <c r="J69" s="137"/>
      <c r="K69" s="138">
        <f t="shared" si="4"/>
        <v>30</v>
      </c>
      <c r="L69" s="138"/>
      <c r="M69" s="139" t="str">
        <f t="shared" si="0"/>
        <v>EN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 t="str">
        <f t="shared" si="1"/>
        <v>318242-5832</v>
      </c>
      <c r="C70" s="136"/>
      <c r="D70" s="136"/>
      <c r="E70" s="136"/>
      <c r="F70" s="136"/>
      <c r="G70" s="136"/>
      <c r="H70" s="137">
        <f t="shared" si="3"/>
        <v>43</v>
      </c>
      <c r="I70" s="137"/>
      <c r="J70" s="137"/>
      <c r="K70" s="138">
        <f t="shared" si="4"/>
        <v>3040</v>
      </c>
      <c r="L70" s="138"/>
      <c r="M70" s="139" t="str">
        <f t="shared" si="0"/>
        <v>OUSW068,OUSW305,EN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 t="str">
        <f t="shared" si="1"/>
        <v>300623-5832</v>
      </c>
      <c r="C71" s="136"/>
      <c r="D71" s="136"/>
      <c r="E71" s="136"/>
      <c r="F71" s="136"/>
      <c r="G71" s="136"/>
      <c r="H71" s="137">
        <f t="shared" si="3"/>
        <v>1</v>
      </c>
      <c r="I71" s="137"/>
      <c r="J71" s="137"/>
      <c r="K71" s="138">
        <f t="shared" si="4"/>
        <v>11</v>
      </c>
      <c r="L71" s="138"/>
      <c r="M71" s="139" t="str">
        <f t="shared" si="0"/>
        <v>EN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 t="str">
        <f t="shared" si="1"/>
        <v>319437-5832</v>
      </c>
      <c r="C72" s="136"/>
      <c r="D72" s="136"/>
      <c r="E72" s="136"/>
      <c r="F72" s="136"/>
      <c r="G72" s="136"/>
      <c r="H72" s="137">
        <f t="shared" si="3"/>
        <v>28</v>
      </c>
      <c r="I72" s="137"/>
      <c r="J72" s="137"/>
      <c r="K72" s="138">
        <f t="shared" si="4"/>
        <v>1664</v>
      </c>
      <c r="L72" s="138"/>
      <c r="M72" s="139" t="str">
        <f t="shared" si="0"/>
        <v>OUSW068,OUSW305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 t="str">
        <f t="shared" si="5"/>
        <v>291816-5832</v>
      </c>
      <c r="C73" s="136"/>
      <c r="D73" s="136"/>
      <c r="E73" s="136"/>
      <c r="F73" s="136"/>
      <c r="G73" s="136"/>
      <c r="H73" s="137">
        <f t="shared" si="3"/>
        <v>1</v>
      </c>
      <c r="I73" s="137"/>
      <c r="J73" s="137"/>
      <c r="K73" s="138">
        <f t="shared" si="4"/>
        <v>27</v>
      </c>
      <c r="L73" s="138"/>
      <c r="M73" s="139" t="str">
        <f t="shared" si="0"/>
        <v>EN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 t="str">
        <f t="shared" si="5"/>
        <v>285445-5832</v>
      </c>
      <c r="C74" s="136"/>
      <c r="D74" s="136"/>
      <c r="E74" s="136"/>
      <c r="F74" s="136"/>
      <c r="G74" s="136"/>
      <c r="H74" s="137">
        <f t="shared" si="3"/>
        <v>1</v>
      </c>
      <c r="I74" s="137"/>
      <c r="J74" s="137"/>
      <c r="K74" s="138">
        <f t="shared" si="4"/>
        <v>11</v>
      </c>
      <c r="L74" s="138"/>
      <c r="M74" s="139" t="str">
        <f t="shared" si="0"/>
        <v>EN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283</v>
      </c>
      <c r="I75" s="156"/>
      <c r="J75" s="157"/>
      <c r="K75" s="158">
        <f>SUM(K55:L74)</f>
        <v>20779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MD.IBRAHIM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01971-748641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O259443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D.M.TA 11-8228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O530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523767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Vertex Off-Dock Logistics Services Ltd.
1443/1509, Old Airport Road, Katghar, North Patenga,
Chattogram 4204,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1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309764-7952</v>
      </c>
      <c r="C95" s="146"/>
      <c r="D95" s="146"/>
      <c r="E95" s="146"/>
      <c r="F95" s="146"/>
      <c r="G95" s="146"/>
      <c r="H95" s="147">
        <f>H55</f>
        <v>4</v>
      </c>
      <c r="I95" s="148"/>
      <c r="J95" s="149"/>
      <c r="K95" s="150">
        <f>K55</f>
        <v>174</v>
      </c>
      <c r="L95" s="151"/>
      <c r="M95" s="133" t="str">
        <f>M55</f>
        <v>OUSW068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296214-5832</v>
      </c>
      <c r="C96" s="136"/>
      <c r="D96" s="136"/>
      <c r="E96" s="136"/>
      <c r="F96" s="136"/>
      <c r="G96" s="136"/>
      <c r="H96" s="137">
        <f>H56</f>
        <v>2</v>
      </c>
      <c r="I96" s="137"/>
      <c r="J96" s="137"/>
      <c r="K96" s="138">
        <f>K56</f>
        <v>69</v>
      </c>
      <c r="L96" s="138"/>
      <c r="M96" s="139" t="str">
        <f>M56</f>
        <v>EN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318268-5832</v>
      </c>
      <c r="C97" s="136"/>
      <c r="D97" s="136"/>
      <c r="E97" s="136"/>
      <c r="F97" s="136"/>
      <c r="G97" s="136"/>
      <c r="H97" s="137">
        <f>H57</f>
        <v>87</v>
      </c>
      <c r="I97" s="137"/>
      <c r="J97" s="137"/>
      <c r="K97" s="138">
        <f>K57</f>
        <v>8978</v>
      </c>
      <c r="L97" s="138"/>
      <c r="M97" s="139" t="str">
        <f t="shared" ref="M97:M114" si="7">M57</f>
        <v>USW022,USW304,DK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323690-5832</v>
      </c>
      <c r="C98" s="136"/>
      <c r="D98" s="136"/>
      <c r="E98" s="136"/>
      <c r="F98" s="136"/>
      <c r="G98" s="136"/>
      <c r="H98" s="137">
        <f t="shared" ref="H98:H114" si="9">H58</f>
        <v>9</v>
      </c>
      <c r="I98" s="137"/>
      <c r="J98" s="137"/>
      <c r="K98" s="138">
        <f t="shared" ref="K98:K114" si="10">K58</f>
        <v>599</v>
      </c>
      <c r="L98" s="138"/>
      <c r="M98" s="139" t="str">
        <f t="shared" si="7"/>
        <v>OUSW068,OUSW305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323673-5832</v>
      </c>
      <c r="C99" s="136"/>
      <c r="D99" s="136"/>
      <c r="E99" s="136"/>
      <c r="F99" s="136"/>
      <c r="G99" s="136"/>
      <c r="H99" s="137">
        <f t="shared" si="9"/>
        <v>9</v>
      </c>
      <c r="I99" s="137"/>
      <c r="J99" s="137"/>
      <c r="K99" s="138">
        <f t="shared" si="10"/>
        <v>609</v>
      </c>
      <c r="L99" s="138"/>
      <c r="M99" s="139" t="str">
        <f t="shared" si="7"/>
        <v>OUSW068,OUSW305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308094-5832</v>
      </c>
      <c r="C100" s="136"/>
      <c r="D100" s="136"/>
      <c r="E100" s="136"/>
      <c r="F100" s="136"/>
      <c r="G100" s="136"/>
      <c r="H100" s="137">
        <f t="shared" si="9"/>
        <v>1</v>
      </c>
      <c r="I100" s="137"/>
      <c r="J100" s="137"/>
      <c r="K100" s="138">
        <f t="shared" si="10"/>
        <v>72</v>
      </c>
      <c r="L100" s="138"/>
      <c r="M100" s="139" t="str">
        <f t="shared" si="7"/>
        <v>DK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300718-5832</v>
      </c>
      <c r="C101" s="136"/>
      <c r="D101" s="136"/>
      <c r="E101" s="136"/>
      <c r="F101" s="136"/>
      <c r="G101" s="136"/>
      <c r="H101" s="137">
        <f t="shared" si="9"/>
        <v>1</v>
      </c>
      <c r="I101" s="137"/>
      <c r="J101" s="137"/>
      <c r="K101" s="138">
        <f t="shared" si="10"/>
        <v>94</v>
      </c>
      <c r="L101" s="138"/>
      <c r="M101" s="139" t="str">
        <f t="shared" si="7"/>
        <v>EN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 t="str">
        <f t="shared" si="6"/>
        <v>300719-5832</v>
      </c>
      <c r="C102" s="136"/>
      <c r="D102" s="136"/>
      <c r="E102" s="136"/>
      <c r="F102" s="136"/>
      <c r="G102" s="136"/>
      <c r="H102" s="137">
        <f t="shared" si="9"/>
        <v>1</v>
      </c>
      <c r="I102" s="137"/>
      <c r="J102" s="137"/>
      <c r="K102" s="138">
        <f t="shared" si="10"/>
        <v>21</v>
      </c>
      <c r="L102" s="138"/>
      <c r="M102" s="139" t="str">
        <f t="shared" si="7"/>
        <v>EN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 t="str">
        <f t="shared" si="6"/>
        <v>323654-5832</v>
      </c>
      <c r="C103" s="136"/>
      <c r="D103" s="136"/>
      <c r="E103" s="136"/>
      <c r="F103" s="136"/>
      <c r="G103" s="136"/>
      <c r="H103" s="137">
        <f t="shared" si="9"/>
        <v>9</v>
      </c>
      <c r="I103" s="137"/>
      <c r="J103" s="137"/>
      <c r="K103" s="138">
        <f t="shared" si="10"/>
        <v>384</v>
      </c>
      <c r="L103" s="138"/>
      <c r="M103" s="139" t="str">
        <f t="shared" si="7"/>
        <v>OUSW068,OUSW305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 t="str">
        <f t="shared" si="6"/>
        <v>307395-5832</v>
      </c>
      <c r="C104" s="136"/>
      <c r="D104" s="136"/>
      <c r="E104" s="136"/>
      <c r="F104" s="136"/>
      <c r="G104" s="136"/>
      <c r="H104" s="137">
        <f t="shared" si="9"/>
        <v>1</v>
      </c>
      <c r="I104" s="137"/>
      <c r="J104" s="137"/>
      <c r="K104" s="138">
        <f t="shared" si="10"/>
        <v>33</v>
      </c>
      <c r="L104" s="138"/>
      <c r="M104" s="139" t="str">
        <f t="shared" si="7"/>
        <v>DK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 t="str">
        <f t="shared" si="6"/>
        <v>300626-5832</v>
      </c>
      <c r="C105" s="136"/>
      <c r="D105" s="136"/>
      <c r="E105" s="136"/>
      <c r="F105" s="136"/>
      <c r="G105" s="136"/>
      <c r="H105" s="137">
        <f t="shared" si="9"/>
        <v>1</v>
      </c>
      <c r="I105" s="137"/>
      <c r="J105" s="137"/>
      <c r="K105" s="138">
        <f t="shared" si="10"/>
        <v>10</v>
      </c>
      <c r="L105" s="138"/>
      <c r="M105" s="139" t="str">
        <f t="shared" si="7"/>
        <v>EN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 t="str">
        <f t="shared" si="6"/>
        <v>324414-5832</v>
      </c>
      <c r="C106" s="136"/>
      <c r="D106" s="136"/>
      <c r="E106" s="136"/>
      <c r="F106" s="136"/>
      <c r="G106" s="136"/>
      <c r="H106" s="137">
        <f t="shared" si="9"/>
        <v>1</v>
      </c>
      <c r="I106" s="137"/>
      <c r="J106" s="137"/>
      <c r="K106" s="138">
        <f t="shared" si="10"/>
        <v>38</v>
      </c>
      <c r="L106" s="138"/>
      <c r="M106" s="139" t="str">
        <f t="shared" si="7"/>
        <v>EN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 t="str">
        <f t="shared" si="6"/>
        <v>307398-5832</v>
      </c>
      <c r="C107" s="136"/>
      <c r="D107" s="136"/>
      <c r="E107" s="136"/>
      <c r="F107" s="136"/>
      <c r="G107" s="136"/>
      <c r="H107" s="137">
        <f t="shared" si="9"/>
        <v>33</v>
      </c>
      <c r="I107" s="137"/>
      <c r="J107" s="137"/>
      <c r="K107" s="138">
        <f t="shared" si="10"/>
        <v>2446</v>
      </c>
      <c r="L107" s="138"/>
      <c r="M107" s="139" t="str">
        <f t="shared" si="7"/>
        <v>USW022,USW304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 t="str">
        <f t="shared" si="6"/>
        <v>309643-5832</v>
      </c>
      <c r="C108" s="136"/>
      <c r="D108" s="136"/>
      <c r="E108" s="136"/>
      <c r="F108" s="136"/>
      <c r="G108" s="136"/>
      <c r="H108" s="137">
        <f t="shared" si="9"/>
        <v>49</v>
      </c>
      <c r="I108" s="137"/>
      <c r="J108" s="137"/>
      <c r="K108" s="138">
        <f t="shared" si="10"/>
        <v>2469</v>
      </c>
      <c r="L108" s="138"/>
      <c r="M108" s="139" t="str">
        <f t="shared" si="7"/>
        <v>OUSW068,OUSW305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 t="str">
        <f t="shared" si="6"/>
        <v>307355-5832</v>
      </c>
      <c r="C109" s="136"/>
      <c r="D109" s="136"/>
      <c r="E109" s="136"/>
      <c r="F109" s="136"/>
      <c r="G109" s="136"/>
      <c r="H109" s="137">
        <f t="shared" si="9"/>
        <v>1</v>
      </c>
      <c r="I109" s="137"/>
      <c r="J109" s="137"/>
      <c r="K109" s="138">
        <f t="shared" si="10"/>
        <v>30</v>
      </c>
      <c r="L109" s="138"/>
      <c r="M109" s="139" t="str">
        <f t="shared" si="7"/>
        <v>EN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 t="str">
        <f t="shared" si="6"/>
        <v>318242-5832</v>
      </c>
      <c r="C110" s="136"/>
      <c r="D110" s="136"/>
      <c r="E110" s="136"/>
      <c r="F110" s="136"/>
      <c r="G110" s="136"/>
      <c r="H110" s="137">
        <f t="shared" si="9"/>
        <v>43</v>
      </c>
      <c r="I110" s="137"/>
      <c r="J110" s="137"/>
      <c r="K110" s="138">
        <f t="shared" si="10"/>
        <v>3040</v>
      </c>
      <c r="L110" s="138"/>
      <c r="M110" s="139" t="str">
        <f t="shared" si="7"/>
        <v>OUSW068,OUSW305,EN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 t="str">
        <f t="shared" si="6"/>
        <v>300623-5832</v>
      </c>
      <c r="C111" s="136"/>
      <c r="D111" s="136"/>
      <c r="E111" s="136"/>
      <c r="F111" s="136"/>
      <c r="G111" s="136"/>
      <c r="H111" s="137">
        <f t="shared" si="9"/>
        <v>1</v>
      </c>
      <c r="I111" s="137"/>
      <c r="J111" s="137"/>
      <c r="K111" s="138">
        <f t="shared" si="10"/>
        <v>11</v>
      </c>
      <c r="L111" s="138"/>
      <c r="M111" s="139" t="str">
        <f t="shared" si="7"/>
        <v>EN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 t="str">
        <f t="shared" si="6"/>
        <v>319437-5832</v>
      </c>
      <c r="C112" s="136"/>
      <c r="D112" s="136"/>
      <c r="E112" s="136"/>
      <c r="F112" s="136"/>
      <c r="G112" s="136"/>
      <c r="H112" s="137">
        <f t="shared" si="9"/>
        <v>28</v>
      </c>
      <c r="I112" s="137"/>
      <c r="J112" s="137"/>
      <c r="K112" s="138">
        <f t="shared" si="10"/>
        <v>1664</v>
      </c>
      <c r="L112" s="138"/>
      <c r="M112" s="139" t="str">
        <f t="shared" si="7"/>
        <v>OUSW068,OUSW305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 t="str">
        <f t="shared" si="11"/>
        <v>291816-5832</v>
      </c>
      <c r="C113" s="136"/>
      <c r="D113" s="136"/>
      <c r="E113" s="136"/>
      <c r="F113" s="136"/>
      <c r="G113" s="136"/>
      <c r="H113" s="137">
        <f t="shared" si="9"/>
        <v>1</v>
      </c>
      <c r="I113" s="137"/>
      <c r="J113" s="137"/>
      <c r="K113" s="138">
        <f t="shared" si="10"/>
        <v>27</v>
      </c>
      <c r="L113" s="138"/>
      <c r="M113" s="139" t="str">
        <f t="shared" si="7"/>
        <v>EN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 t="str">
        <f t="shared" si="11"/>
        <v>285445-5832</v>
      </c>
      <c r="C114" s="136"/>
      <c r="D114" s="136"/>
      <c r="E114" s="136"/>
      <c r="F114" s="136"/>
      <c r="G114" s="136"/>
      <c r="H114" s="137">
        <f t="shared" si="9"/>
        <v>1</v>
      </c>
      <c r="I114" s="137"/>
      <c r="J114" s="137"/>
      <c r="K114" s="138">
        <f t="shared" si="10"/>
        <v>11</v>
      </c>
      <c r="L114" s="138"/>
      <c r="M114" s="139" t="str">
        <f t="shared" si="7"/>
        <v>EN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283</v>
      </c>
      <c r="I115" s="156"/>
      <c r="J115" s="157"/>
      <c r="K115" s="158">
        <f>SUM(K95:L114)</f>
        <v>20779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MD.IBRAHIM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01971-748641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O259443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D.M.TA 11-8228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O530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523767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Vertex Off-Dock Logistics Services Ltd.
1443/1509, Old Airport Road, Katghar, North Patenga,
Chattogram 4204,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1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309764-7952</v>
      </c>
      <c r="C135" s="146"/>
      <c r="D135" s="146"/>
      <c r="E135" s="146"/>
      <c r="F135" s="146"/>
      <c r="G135" s="146"/>
      <c r="H135" s="187">
        <f>H95</f>
        <v>4</v>
      </c>
      <c r="I135" s="188"/>
      <c r="J135" s="189"/>
      <c r="K135" s="190">
        <f>K95</f>
        <v>174</v>
      </c>
      <c r="L135" s="191"/>
      <c r="M135" s="133" t="str">
        <f>M95</f>
        <v>OUSW068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296214-5832</v>
      </c>
      <c r="C136" s="136"/>
      <c r="D136" s="136"/>
      <c r="E136" s="136"/>
      <c r="F136" s="136"/>
      <c r="G136" s="136"/>
      <c r="H136" s="179">
        <f>H96</f>
        <v>2</v>
      </c>
      <c r="I136" s="180"/>
      <c r="J136" s="181"/>
      <c r="K136" s="182">
        <f>K96</f>
        <v>69</v>
      </c>
      <c r="L136" s="183"/>
      <c r="M136" s="184" t="str">
        <f>M96</f>
        <v>EN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318268-5832</v>
      </c>
      <c r="C137" s="136"/>
      <c r="D137" s="136"/>
      <c r="E137" s="136"/>
      <c r="F137" s="136"/>
      <c r="G137" s="136"/>
      <c r="H137" s="179">
        <f>H97</f>
        <v>87</v>
      </c>
      <c r="I137" s="180"/>
      <c r="J137" s="181"/>
      <c r="K137" s="182">
        <f>K97</f>
        <v>8978</v>
      </c>
      <c r="L137" s="183"/>
      <c r="M137" s="184" t="str">
        <f t="shared" ref="M137:M154" si="13">M97</f>
        <v>USW022,USW304,DK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323690-5832</v>
      </c>
      <c r="C138" s="136"/>
      <c r="D138" s="136"/>
      <c r="E138" s="136"/>
      <c r="F138" s="136"/>
      <c r="G138" s="136"/>
      <c r="H138" s="179">
        <f t="shared" ref="H138:H154" si="15">H98</f>
        <v>9</v>
      </c>
      <c r="I138" s="180"/>
      <c r="J138" s="181"/>
      <c r="K138" s="182">
        <f t="shared" ref="K138:K154" si="16">K98</f>
        <v>599</v>
      </c>
      <c r="L138" s="183"/>
      <c r="M138" s="184" t="str">
        <f t="shared" si="13"/>
        <v>OUSW068,OUSW305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323673-5832</v>
      </c>
      <c r="C139" s="136"/>
      <c r="D139" s="136"/>
      <c r="E139" s="136"/>
      <c r="F139" s="136"/>
      <c r="G139" s="136"/>
      <c r="H139" s="179">
        <f t="shared" si="15"/>
        <v>9</v>
      </c>
      <c r="I139" s="180"/>
      <c r="J139" s="181"/>
      <c r="K139" s="182">
        <f t="shared" si="16"/>
        <v>609</v>
      </c>
      <c r="L139" s="183"/>
      <c r="M139" s="184" t="str">
        <f t="shared" si="13"/>
        <v>OUSW068,OUSW305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308094-5832</v>
      </c>
      <c r="C140" s="136"/>
      <c r="D140" s="136"/>
      <c r="E140" s="136"/>
      <c r="F140" s="136"/>
      <c r="G140" s="136"/>
      <c r="H140" s="179">
        <f t="shared" si="15"/>
        <v>1</v>
      </c>
      <c r="I140" s="180"/>
      <c r="J140" s="181"/>
      <c r="K140" s="182">
        <f t="shared" si="16"/>
        <v>72</v>
      </c>
      <c r="L140" s="183"/>
      <c r="M140" s="184" t="str">
        <f t="shared" si="13"/>
        <v>DK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300718-5832</v>
      </c>
      <c r="C141" s="136"/>
      <c r="D141" s="136"/>
      <c r="E141" s="136"/>
      <c r="F141" s="136"/>
      <c r="G141" s="136"/>
      <c r="H141" s="179">
        <f t="shared" si="15"/>
        <v>1</v>
      </c>
      <c r="I141" s="180"/>
      <c r="J141" s="181"/>
      <c r="K141" s="182">
        <f t="shared" si="16"/>
        <v>94</v>
      </c>
      <c r="L141" s="183"/>
      <c r="M141" s="184" t="str">
        <f t="shared" si="13"/>
        <v>EN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 t="str">
        <f t="shared" si="12"/>
        <v>300719-5832</v>
      </c>
      <c r="C142" s="136"/>
      <c r="D142" s="136"/>
      <c r="E142" s="136"/>
      <c r="F142" s="136"/>
      <c r="G142" s="136"/>
      <c r="H142" s="179">
        <f t="shared" si="15"/>
        <v>1</v>
      </c>
      <c r="I142" s="180"/>
      <c r="J142" s="181"/>
      <c r="K142" s="182">
        <f t="shared" si="16"/>
        <v>21</v>
      </c>
      <c r="L142" s="183"/>
      <c r="M142" s="184" t="str">
        <f t="shared" si="13"/>
        <v>EN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 t="str">
        <f t="shared" si="12"/>
        <v>323654-5832</v>
      </c>
      <c r="C143" s="136"/>
      <c r="D143" s="136"/>
      <c r="E143" s="136"/>
      <c r="F143" s="136"/>
      <c r="G143" s="136"/>
      <c r="H143" s="179">
        <f t="shared" si="15"/>
        <v>9</v>
      </c>
      <c r="I143" s="180"/>
      <c r="J143" s="181"/>
      <c r="K143" s="182">
        <f t="shared" si="16"/>
        <v>384</v>
      </c>
      <c r="L143" s="183"/>
      <c r="M143" s="184" t="str">
        <f t="shared" si="13"/>
        <v>OUSW068,OUSW305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 t="str">
        <f t="shared" si="12"/>
        <v>307395-5832</v>
      </c>
      <c r="C144" s="136"/>
      <c r="D144" s="136"/>
      <c r="E144" s="136"/>
      <c r="F144" s="136"/>
      <c r="G144" s="136"/>
      <c r="H144" s="179">
        <f t="shared" si="15"/>
        <v>1</v>
      </c>
      <c r="I144" s="180"/>
      <c r="J144" s="181"/>
      <c r="K144" s="182">
        <f t="shared" si="16"/>
        <v>33</v>
      </c>
      <c r="L144" s="183"/>
      <c r="M144" s="184" t="str">
        <f t="shared" si="13"/>
        <v>DK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 t="str">
        <f t="shared" si="12"/>
        <v>300626-5832</v>
      </c>
      <c r="C145" s="136"/>
      <c r="D145" s="136"/>
      <c r="E145" s="136"/>
      <c r="F145" s="136"/>
      <c r="G145" s="136"/>
      <c r="H145" s="179">
        <f t="shared" si="15"/>
        <v>1</v>
      </c>
      <c r="I145" s="180"/>
      <c r="J145" s="181"/>
      <c r="K145" s="182">
        <f t="shared" si="16"/>
        <v>10</v>
      </c>
      <c r="L145" s="183"/>
      <c r="M145" s="184" t="str">
        <f t="shared" si="13"/>
        <v>EN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 t="str">
        <f t="shared" si="12"/>
        <v>324414-5832</v>
      </c>
      <c r="C146" s="136"/>
      <c r="D146" s="136"/>
      <c r="E146" s="136"/>
      <c r="F146" s="136"/>
      <c r="G146" s="136"/>
      <c r="H146" s="179">
        <f t="shared" si="15"/>
        <v>1</v>
      </c>
      <c r="I146" s="180"/>
      <c r="J146" s="181"/>
      <c r="K146" s="182">
        <f t="shared" si="16"/>
        <v>38</v>
      </c>
      <c r="L146" s="183"/>
      <c r="M146" s="184" t="str">
        <f t="shared" si="13"/>
        <v>EN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 t="str">
        <f t="shared" si="12"/>
        <v>307398-5832</v>
      </c>
      <c r="C147" s="136"/>
      <c r="D147" s="136"/>
      <c r="E147" s="136"/>
      <c r="F147" s="136"/>
      <c r="G147" s="136"/>
      <c r="H147" s="179">
        <f t="shared" si="15"/>
        <v>33</v>
      </c>
      <c r="I147" s="180"/>
      <c r="J147" s="181"/>
      <c r="K147" s="182">
        <f t="shared" si="16"/>
        <v>2446</v>
      </c>
      <c r="L147" s="183"/>
      <c r="M147" s="184" t="str">
        <f t="shared" si="13"/>
        <v>USW022,USW304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 t="str">
        <f t="shared" si="12"/>
        <v>309643-5832</v>
      </c>
      <c r="C148" s="136"/>
      <c r="D148" s="136"/>
      <c r="E148" s="136"/>
      <c r="F148" s="136"/>
      <c r="G148" s="136"/>
      <c r="H148" s="179">
        <f t="shared" si="15"/>
        <v>49</v>
      </c>
      <c r="I148" s="180"/>
      <c r="J148" s="181"/>
      <c r="K148" s="182">
        <f t="shared" si="16"/>
        <v>2469</v>
      </c>
      <c r="L148" s="183"/>
      <c r="M148" s="184" t="str">
        <f t="shared" si="13"/>
        <v>OUSW068,OUSW305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 t="str">
        <f t="shared" si="12"/>
        <v>307355-5832</v>
      </c>
      <c r="C149" s="136"/>
      <c r="D149" s="136"/>
      <c r="E149" s="136"/>
      <c r="F149" s="136"/>
      <c r="G149" s="136"/>
      <c r="H149" s="179">
        <f t="shared" si="15"/>
        <v>1</v>
      </c>
      <c r="I149" s="180"/>
      <c r="J149" s="181"/>
      <c r="K149" s="182">
        <f t="shared" si="16"/>
        <v>30</v>
      </c>
      <c r="L149" s="183"/>
      <c r="M149" s="184" t="str">
        <f t="shared" si="13"/>
        <v>EN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 t="str">
        <f t="shared" si="12"/>
        <v>318242-5832</v>
      </c>
      <c r="C150" s="136"/>
      <c r="D150" s="136"/>
      <c r="E150" s="136"/>
      <c r="F150" s="136"/>
      <c r="G150" s="136"/>
      <c r="H150" s="179">
        <f t="shared" si="15"/>
        <v>43</v>
      </c>
      <c r="I150" s="180"/>
      <c r="J150" s="181"/>
      <c r="K150" s="182">
        <f t="shared" si="16"/>
        <v>3040</v>
      </c>
      <c r="L150" s="183"/>
      <c r="M150" s="184" t="str">
        <f t="shared" si="13"/>
        <v>OUSW068,OUSW305,EN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 t="str">
        <f t="shared" si="12"/>
        <v>300623-5832</v>
      </c>
      <c r="C151" s="136"/>
      <c r="D151" s="136"/>
      <c r="E151" s="136"/>
      <c r="F151" s="136"/>
      <c r="G151" s="136"/>
      <c r="H151" s="179">
        <f t="shared" si="15"/>
        <v>1</v>
      </c>
      <c r="I151" s="180"/>
      <c r="J151" s="181"/>
      <c r="K151" s="182">
        <f t="shared" si="16"/>
        <v>11</v>
      </c>
      <c r="L151" s="183"/>
      <c r="M151" s="184" t="str">
        <f t="shared" si="13"/>
        <v>EN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 t="str">
        <f t="shared" si="12"/>
        <v>319437-5832</v>
      </c>
      <c r="C152" s="136"/>
      <c r="D152" s="136"/>
      <c r="E152" s="136"/>
      <c r="F152" s="136"/>
      <c r="G152" s="136"/>
      <c r="H152" s="179">
        <f t="shared" si="15"/>
        <v>28</v>
      </c>
      <c r="I152" s="180"/>
      <c r="J152" s="181"/>
      <c r="K152" s="182">
        <f t="shared" si="16"/>
        <v>1664</v>
      </c>
      <c r="L152" s="183"/>
      <c r="M152" s="184" t="str">
        <f t="shared" si="13"/>
        <v>OUSW068,OUSW305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 t="str">
        <f t="shared" si="17"/>
        <v>291816-5832</v>
      </c>
      <c r="C153" s="136"/>
      <c r="D153" s="136"/>
      <c r="E153" s="136"/>
      <c r="F153" s="136"/>
      <c r="G153" s="136"/>
      <c r="H153" s="179">
        <f t="shared" si="15"/>
        <v>1</v>
      </c>
      <c r="I153" s="180"/>
      <c r="J153" s="181"/>
      <c r="K153" s="182">
        <f t="shared" si="16"/>
        <v>27</v>
      </c>
      <c r="L153" s="183"/>
      <c r="M153" s="184" t="str">
        <f t="shared" si="13"/>
        <v>EN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 t="str">
        <f t="shared" si="17"/>
        <v>285445-5832</v>
      </c>
      <c r="C154" s="136"/>
      <c r="D154" s="136"/>
      <c r="E154" s="136"/>
      <c r="F154" s="136"/>
      <c r="G154" s="136"/>
      <c r="H154" s="179">
        <f t="shared" si="15"/>
        <v>1</v>
      </c>
      <c r="I154" s="180"/>
      <c r="J154" s="181"/>
      <c r="K154" s="182">
        <f t="shared" si="16"/>
        <v>11</v>
      </c>
      <c r="L154" s="183"/>
      <c r="M154" s="184" t="str">
        <f t="shared" si="13"/>
        <v>EN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283</v>
      </c>
      <c r="I155" s="195"/>
      <c r="J155" s="196"/>
      <c r="K155" s="158">
        <f>SUM(K135:L154)</f>
        <v>20779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MD.IBRAHIM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01971-748641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O259443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D.M.TA 11-8228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L8:P8 L48:P48 L88:P88 L128:P128" xr:uid="{A3840F8D-D717-4671-8624-E002AE742235}">
      <formula1>Mode</formula1>
    </dataValidation>
    <dataValidation type="list" allowBlank="1" showInputMessage="1" showErrorMessage="1" sqref="A8 A48 A88 A128" xr:uid="{8215405C-5C0C-4F38-B9EC-1809A152805C}">
      <formula1>$T$7:$T$35</formula1>
    </dataValidation>
    <dataValidation type="list" allowBlank="1" showInputMessage="1" showErrorMessage="1" sqref="L9:P11 L49:P51 L89:P91 L129:P131" xr:uid="{BADF0895-A142-4C60-A5D9-DE251203FE69}">
      <formula1>Carrier</formula1>
    </dataValidation>
    <dataValidation type="list" allowBlank="1" showInputMessage="1" showErrorMessage="1" sqref="C14:D14 C94:D94 C54:D54 C134:D134" xr:uid="{4AEE6781-374F-440F-9A8F-705A6186F996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0383-4DBE-42C9-A3BC-B848229E313F}">
  <sheetPr>
    <tabColor rgb="FF00B050"/>
  </sheetPr>
  <dimension ref="A1:Y168"/>
  <sheetViews>
    <sheetView view="pageBreakPreview" topLeftCell="A4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183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262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261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206</v>
      </c>
      <c r="C15" s="146"/>
      <c r="D15" s="146"/>
      <c r="E15" s="146"/>
      <c r="F15" s="146"/>
      <c r="G15" s="146"/>
      <c r="H15" s="147">
        <v>1</v>
      </c>
      <c r="I15" s="148"/>
      <c r="J15" s="149"/>
      <c r="K15" s="150">
        <v>16</v>
      </c>
      <c r="L15" s="151"/>
      <c r="M15" s="133" t="s">
        <v>264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207</v>
      </c>
      <c r="C16" s="136"/>
      <c r="D16" s="136"/>
      <c r="E16" s="136"/>
      <c r="F16" s="136"/>
      <c r="G16" s="136"/>
      <c r="H16" s="137">
        <v>1</v>
      </c>
      <c r="I16" s="137"/>
      <c r="J16" s="137"/>
      <c r="K16" s="138">
        <v>10</v>
      </c>
      <c r="L16" s="138"/>
      <c r="M16" s="139" t="s">
        <v>264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230</v>
      </c>
      <c r="C17" s="136"/>
      <c r="D17" s="136"/>
      <c r="E17" s="136"/>
      <c r="F17" s="136"/>
      <c r="G17" s="136"/>
      <c r="H17" s="137">
        <v>1</v>
      </c>
      <c r="I17" s="137"/>
      <c r="J17" s="137"/>
      <c r="K17" s="138">
        <v>34</v>
      </c>
      <c r="L17" s="138"/>
      <c r="M17" s="139" t="s">
        <v>264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274</v>
      </c>
      <c r="C18" s="136"/>
      <c r="D18" s="136"/>
      <c r="E18" s="136"/>
      <c r="F18" s="136"/>
      <c r="G18" s="136"/>
      <c r="H18" s="137">
        <v>1</v>
      </c>
      <c r="I18" s="137"/>
      <c r="J18" s="137"/>
      <c r="K18" s="138">
        <v>10</v>
      </c>
      <c r="L18" s="138"/>
      <c r="M18" s="139" t="s">
        <v>264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275</v>
      </c>
      <c r="C19" s="136"/>
      <c r="D19" s="136"/>
      <c r="E19" s="136"/>
      <c r="F19" s="136"/>
      <c r="G19" s="136"/>
      <c r="H19" s="137">
        <v>2</v>
      </c>
      <c r="I19" s="137"/>
      <c r="J19" s="137"/>
      <c r="K19" s="138">
        <v>79</v>
      </c>
      <c r="L19" s="138"/>
      <c r="M19" s="139" t="s">
        <v>264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129</v>
      </c>
      <c r="C20" s="136"/>
      <c r="D20" s="136"/>
      <c r="E20" s="136"/>
      <c r="F20" s="136"/>
      <c r="G20" s="136"/>
      <c r="H20" s="137">
        <v>7</v>
      </c>
      <c r="I20" s="137"/>
      <c r="J20" s="137"/>
      <c r="K20" s="138">
        <v>332</v>
      </c>
      <c r="L20" s="138"/>
      <c r="M20" s="152" t="s">
        <v>266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123</v>
      </c>
      <c r="C21" s="136"/>
      <c r="D21" s="136"/>
      <c r="E21" s="136"/>
      <c r="F21" s="136"/>
      <c r="G21" s="136"/>
      <c r="H21" s="137">
        <v>3</v>
      </c>
      <c r="I21" s="137"/>
      <c r="J21" s="137"/>
      <c r="K21" s="138">
        <v>145</v>
      </c>
      <c r="L21" s="138"/>
      <c r="M21" s="139" t="s">
        <v>267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16</v>
      </c>
      <c r="I35" s="156"/>
      <c r="J35" s="157"/>
      <c r="K35" s="158">
        <f>SUM(K15:L34)</f>
        <v>626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279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277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278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276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O531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523767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Vertex Off-Dock Logistics Services Ltd.
1443/1509, Old Airport Road, Katghar, North Patenga,
Chattogram 4204,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300624-5832</v>
      </c>
      <c r="C55" s="146"/>
      <c r="D55" s="146"/>
      <c r="E55" s="146"/>
      <c r="F55" s="146"/>
      <c r="G55" s="146"/>
      <c r="H55" s="147">
        <f>H15</f>
        <v>1</v>
      </c>
      <c r="I55" s="148"/>
      <c r="J55" s="149"/>
      <c r="K55" s="150">
        <f>K15</f>
        <v>16</v>
      </c>
      <c r="L55" s="151"/>
      <c r="M55" s="133" t="str">
        <f>M15</f>
        <v>EN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300625-5832</v>
      </c>
      <c r="C56" s="136"/>
      <c r="D56" s="136"/>
      <c r="E56" s="136"/>
      <c r="F56" s="136"/>
      <c r="G56" s="136"/>
      <c r="H56" s="137">
        <f>H16</f>
        <v>1</v>
      </c>
      <c r="I56" s="137"/>
      <c r="J56" s="137"/>
      <c r="K56" s="138">
        <f>K16</f>
        <v>10</v>
      </c>
      <c r="L56" s="138"/>
      <c r="M56" s="139" t="str">
        <f t="shared" ref="M56:M74" si="0">M16</f>
        <v>EN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300726-5832</v>
      </c>
      <c r="C57" s="136"/>
      <c r="D57" s="136"/>
      <c r="E57" s="136"/>
      <c r="F57" s="136"/>
      <c r="G57" s="136"/>
      <c r="H57" s="137">
        <f>H17</f>
        <v>1</v>
      </c>
      <c r="I57" s="137"/>
      <c r="J57" s="137"/>
      <c r="K57" s="138">
        <f>K17</f>
        <v>34</v>
      </c>
      <c r="L57" s="138"/>
      <c r="M57" s="139" t="str">
        <f t="shared" si="0"/>
        <v>EN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283988-5828</v>
      </c>
      <c r="C58" s="136"/>
      <c r="D58" s="136"/>
      <c r="E58" s="136"/>
      <c r="F58" s="136"/>
      <c r="G58" s="136"/>
      <c r="H58" s="137">
        <f t="shared" ref="H58:H74" si="3">H18</f>
        <v>1</v>
      </c>
      <c r="I58" s="137"/>
      <c r="J58" s="137"/>
      <c r="K58" s="138">
        <f t="shared" ref="K58:K74" si="4">K18</f>
        <v>10</v>
      </c>
      <c r="L58" s="138"/>
      <c r="M58" s="139" t="str">
        <f t="shared" si="0"/>
        <v>EN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284072-5828</v>
      </c>
      <c r="C59" s="136"/>
      <c r="D59" s="136"/>
      <c r="E59" s="136"/>
      <c r="F59" s="136"/>
      <c r="G59" s="136"/>
      <c r="H59" s="137">
        <f t="shared" si="3"/>
        <v>2</v>
      </c>
      <c r="I59" s="137"/>
      <c r="J59" s="137"/>
      <c r="K59" s="138">
        <f t="shared" si="4"/>
        <v>79</v>
      </c>
      <c r="L59" s="138"/>
      <c r="M59" s="139" t="str">
        <f t="shared" si="0"/>
        <v>EN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308831-5828</v>
      </c>
      <c r="C60" s="136"/>
      <c r="D60" s="136"/>
      <c r="E60" s="136"/>
      <c r="F60" s="136"/>
      <c r="G60" s="136"/>
      <c r="H60" s="137">
        <f t="shared" si="3"/>
        <v>7</v>
      </c>
      <c r="I60" s="137"/>
      <c r="J60" s="137"/>
      <c r="K60" s="138">
        <f t="shared" si="4"/>
        <v>332</v>
      </c>
      <c r="L60" s="138"/>
      <c r="M60" s="139" t="str">
        <f t="shared" si="0"/>
        <v>OUSW068,OUSW305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316252-5832</v>
      </c>
      <c r="C61" s="136"/>
      <c r="D61" s="136"/>
      <c r="E61" s="136"/>
      <c r="F61" s="136"/>
      <c r="G61" s="136"/>
      <c r="H61" s="137">
        <f t="shared" si="3"/>
        <v>3</v>
      </c>
      <c r="I61" s="137"/>
      <c r="J61" s="137"/>
      <c r="K61" s="138">
        <f t="shared" si="4"/>
        <v>145</v>
      </c>
      <c r="L61" s="138"/>
      <c r="M61" s="139" t="str">
        <f t="shared" si="0"/>
        <v>DK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16</v>
      </c>
      <c r="I75" s="156"/>
      <c r="J75" s="157"/>
      <c r="K75" s="158">
        <f>SUM(K55:L74)</f>
        <v>626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MD.IBRAHIM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01971-748641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O259443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D.M.TA 11-8228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O531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523767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Vertex Off-Dock Logistics Services Ltd.
1443/1509, Old Airport Road, Katghar, North Patenga,
Chattogram 4204,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300624-5832</v>
      </c>
      <c r="C95" s="146"/>
      <c r="D95" s="146"/>
      <c r="E95" s="146"/>
      <c r="F95" s="146"/>
      <c r="G95" s="146"/>
      <c r="H95" s="147">
        <f>H55</f>
        <v>1</v>
      </c>
      <c r="I95" s="148"/>
      <c r="J95" s="149"/>
      <c r="K95" s="150">
        <f>K55</f>
        <v>16</v>
      </c>
      <c r="L95" s="151"/>
      <c r="M95" s="133" t="str">
        <f>M55</f>
        <v>EN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300625-5832</v>
      </c>
      <c r="C96" s="136"/>
      <c r="D96" s="136"/>
      <c r="E96" s="136"/>
      <c r="F96" s="136"/>
      <c r="G96" s="136"/>
      <c r="H96" s="137">
        <f>H56</f>
        <v>1</v>
      </c>
      <c r="I96" s="137"/>
      <c r="J96" s="137"/>
      <c r="K96" s="138">
        <f>K56</f>
        <v>10</v>
      </c>
      <c r="L96" s="138"/>
      <c r="M96" s="139" t="str">
        <f>M56</f>
        <v>EN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300726-5832</v>
      </c>
      <c r="C97" s="136"/>
      <c r="D97" s="136"/>
      <c r="E97" s="136"/>
      <c r="F97" s="136"/>
      <c r="G97" s="136"/>
      <c r="H97" s="137">
        <f>H57</f>
        <v>1</v>
      </c>
      <c r="I97" s="137"/>
      <c r="J97" s="137"/>
      <c r="K97" s="138">
        <f>K57</f>
        <v>34</v>
      </c>
      <c r="L97" s="138"/>
      <c r="M97" s="139" t="str">
        <f t="shared" ref="M97:M114" si="7">M57</f>
        <v>EN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283988-5828</v>
      </c>
      <c r="C98" s="136"/>
      <c r="D98" s="136"/>
      <c r="E98" s="136"/>
      <c r="F98" s="136"/>
      <c r="G98" s="136"/>
      <c r="H98" s="137">
        <f t="shared" ref="H98:H114" si="9">H58</f>
        <v>1</v>
      </c>
      <c r="I98" s="137"/>
      <c r="J98" s="137"/>
      <c r="K98" s="138">
        <f t="shared" ref="K98:K114" si="10">K58</f>
        <v>10</v>
      </c>
      <c r="L98" s="138"/>
      <c r="M98" s="139" t="str">
        <f t="shared" si="7"/>
        <v>EN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284072-5828</v>
      </c>
      <c r="C99" s="136"/>
      <c r="D99" s="136"/>
      <c r="E99" s="136"/>
      <c r="F99" s="136"/>
      <c r="G99" s="136"/>
      <c r="H99" s="137">
        <f t="shared" si="9"/>
        <v>2</v>
      </c>
      <c r="I99" s="137"/>
      <c r="J99" s="137"/>
      <c r="K99" s="138">
        <f t="shared" si="10"/>
        <v>79</v>
      </c>
      <c r="L99" s="138"/>
      <c r="M99" s="139" t="str">
        <f t="shared" si="7"/>
        <v>EN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308831-5828</v>
      </c>
      <c r="C100" s="136"/>
      <c r="D100" s="136"/>
      <c r="E100" s="136"/>
      <c r="F100" s="136"/>
      <c r="G100" s="136"/>
      <c r="H100" s="137">
        <f t="shared" si="9"/>
        <v>7</v>
      </c>
      <c r="I100" s="137"/>
      <c r="J100" s="137"/>
      <c r="K100" s="138">
        <f t="shared" si="10"/>
        <v>332</v>
      </c>
      <c r="L100" s="138"/>
      <c r="M100" s="139" t="str">
        <f t="shared" si="7"/>
        <v>OUSW068,OUSW305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316252-5832</v>
      </c>
      <c r="C101" s="136"/>
      <c r="D101" s="136"/>
      <c r="E101" s="136"/>
      <c r="F101" s="136"/>
      <c r="G101" s="136"/>
      <c r="H101" s="137">
        <f t="shared" si="9"/>
        <v>3</v>
      </c>
      <c r="I101" s="137"/>
      <c r="J101" s="137"/>
      <c r="K101" s="138">
        <f t="shared" si="10"/>
        <v>145</v>
      </c>
      <c r="L101" s="138"/>
      <c r="M101" s="139" t="str">
        <f t="shared" si="7"/>
        <v>DK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16</v>
      </c>
      <c r="I115" s="156"/>
      <c r="J115" s="157"/>
      <c r="K115" s="158">
        <f>SUM(K95:L114)</f>
        <v>626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MD.IBRAHIM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01971-748641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O259443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D.M.TA 11-8228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O531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523767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Vertex Off-Dock Logistics Services Ltd.
1443/1509, Old Airport Road, Katghar, North Patenga,
Chattogram 4204,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300624-5832</v>
      </c>
      <c r="C135" s="146"/>
      <c r="D135" s="146"/>
      <c r="E135" s="146"/>
      <c r="F135" s="146"/>
      <c r="G135" s="146"/>
      <c r="H135" s="187">
        <f>H95</f>
        <v>1</v>
      </c>
      <c r="I135" s="188"/>
      <c r="J135" s="189"/>
      <c r="K135" s="190">
        <f>K95</f>
        <v>16</v>
      </c>
      <c r="L135" s="191"/>
      <c r="M135" s="133" t="str">
        <f>M95</f>
        <v>EN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300625-5832</v>
      </c>
      <c r="C136" s="136"/>
      <c r="D136" s="136"/>
      <c r="E136" s="136"/>
      <c r="F136" s="136"/>
      <c r="G136" s="136"/>
      <c r="H136" s="179">
        <f>H96</f>
        <v>1</v>
      </c>
      <c r="I136" s="180"/>
      <c r="J136" s="181"/>
      <c r="K136" s="182">
        <f>K96</f>
        <v>10</v>
      </c>
      <c r="L136" s="183"/>
      <c r="M136" s="184" t="str">
        <f>M96</f>
        <v>EN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300726-5832</v>
      </c>
      <c r="C137" s="136"/>
      <c r="D137" s="136"/>
      <c r="E137" s="136"/>
      <c r="F137" s="136"/>
      <c r="G137" s="136"/>
      <c r="H137" s="179">
        <f>H97</f>
        <v>1</v>
      </c>
      <c r="I137" s="180"/>
      <c r="J137" s="181"/>
      <c r="K137" s="182">
        <f>K97</f>
        <v>34</v>
      </c>
      <c r="L137" s="183"/>
      <c r="M137" s="184" t="str">
        <f t="shared" ref="M137:M154" si="13">M97</f>
        <v>EN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283988-5828</v>
      </c>
      <c r="C138" s="136"/>
      <c r="D138" s="136"/>
      <c r="E138" s="136"/>
      <c r="F138" s="136"/>
      <c r="G138" s="136"/>
      <c r="H138" s="179">
        <f t="shared" ref="H138:H154" si="15">H98</f>
        <v>1</v>
      </c>
      <c r="I138" s="180"/>
      <c r="J138" s="181"/>
      <c r="K138" s="182">
        <f t="shared" ref="K138:K154" si="16">K98</f>
        <v>10</v>
      </c>
      <c r="L138" s="183"/>
      <c r="M138" s="184" t="str">
        <f t="shared" si="13"/>
        <v>EN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284072-5828</v>
      </c>
      <c r="C139" s="136"/>
      <c r="D139" s="136"/>
      <c r="E139" s="136"/>
      <c r="F139" s="136"/>
      <c r="G139" s="136"/>
      <c r="H139" s="179">
        <f t="shared" si="15"/>
        <v>2</v>
      </c>
      <c r="I139" s="180"/>
      <c r="J139" s="181"/>
      <c r="K139" s="182">
        <f t="shared" si="16"/>
        <v>79</v>
      </c>
      <c r="L139" s="183"/>
      <c r="M139" s="184" t="str">
        <f t="shared" si="13"/>
        <v>EN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308831-5828</v>
      </c>
      <c r="C140" s="136"/>
      <c r="D140" s="136"/>
      <c r="E140" s="136"/>
      <c r="F140" s="136"/>
      <c r="G140" s="136"/>
      <c r="H140" s="179">
        <f t="shared" si="15"/>
        <v>7</v>
      </c>
      <c r="I140" s="180"/>
      <c r="J140" s="181"/>
      <c r="K140" s="182">
        <f t="shared" si="16"/>
        <v>332</v>
      </c>
      <c r="L140" s="183"/>
      <c r="M140" s="184" t="str">
        <f t="shared" si="13"/>
        <v>OUSW068,OUSW305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316252-5832</v>
      </c>
      <c r="C141" s="136"/>
      <c r="D141" s="136"/>
      <c r="E141" s="136"/>
      <c r="F141" s="136"/>
      <c r="G141" s="136"/>
      <c r="H141" s="179">
        <f t="shared" si="15"/>
        <v>3</v>
      </c>
      <c r="I141" s="180"/>
      <c r="J141" s="181"/>
      <c r="K141" s="182">
        <f t="shared" si="16"/>
        <v>145</v>
      </c>
      <c r="L141" s="183"/>
      <c r="M141" s="184" t="str">
        <f t="shared" si="13"/>
        <v>DK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16</v>
      </c>
      <c r="I155" s="195"/>
      <c r="J155" s="196"/>
      <c r="K155" s="158">
        <f>SUM(K135:L154)</f>
        <v>626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MD.IBRAHIM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01971-748641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O259443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D.M.TA 11-8228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C14:D14 C94:D94 C54:D54 C134:D134" xr:uid="{98D2CA1E-8DE7-4D68-ACC8-E18E811CED67}">
      <formula1>$W$7:$W$161</formula1>
    </dataValidation>
    <dataValidation type="list" allowBlank="1" showInputMessage="1" showErrorMessage="1" sqref="L9:P11 L49:P51 L89:P91 L129:P131" xr:uid="{A74C2D99-05FB-45C4-B620-0E9F33CF01D8}">
      <formula1>Carrier</formula1>
    </dataValidation>
    <dataValidation type="list" allowBlank="1" showInputMessage="1" showErrorMessage="1" sqref="A8 A48 A88 A128" xr:uid="{5C374BAB-3FBC-4E05-816C-94C4852F5E28}">
      <formula1>$T$7:$T$35</formula1>
    </dataValidation>
    <dataValidation type="list" allowBlank="1" showInputMessage="1" showErrorMessage="1" sqref="L8:P8 L48:P48 L88:P88 L128:P128" xr:uid="{C6F12224-E644-4B92-909E-629751613D2E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9FD6-64AF-4970-B4B7-9AE910F8B051}">
  <sheetPr>
    <tabColor rgb="FF00B050"/>
  </sheetPr>
  <dimension ref="A1:Y168"/>
  <sheetViews>
    <sheetView view="pageBreakPreview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184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285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190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256</v>
      </c>
      <c r="C15" s="146"/>
      <c r="D15" s="146"/>
      <c r="E15" s="146"/>
      <c r="F15" s="146"/>
      <c r="G15" s="146"/>
      <c r="H15" s="147">
        <v>6</v>
      </c>
      <c r="I15" s="148"/>
      <c r="J15" s="149"/>
      <c r="K15" s="150">
        <v>248</v>
      </c>
      <c r="L15" s="151"/>
      <c r="M15" s="133" t="s">
        <v>286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268</v>
      </c>
      <c r="C16" s="136"/>
      <c r="D16" s="136"/>
      <c r="E16" s="136"/>
      <c r="F16" s="136"/>
      <c r="G16" s="136"/>
      <c r="H16" s="137">
        <v>2</v>
      </c>
      <c r="I16" s="137"/>
      <c r="J16" s="137"/>
      <c r="K16" s="138">
        <v>38</v>
      </c>
      <c r="L16" s="138"/>
      <c r="M16" s="139" t="s">
        <v>200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271</v>
      </c>
      <c r="C17" s="136"/>
      <c r="D17" s="136"/>
      <c r="E17" s="136"/>
      <c r="F17" s="136"/>
      <c r="G17" s="136"/>
      <c r="H17" s="137">
        <v>2</v>
      </c>
      <c r="I17" s="137"/>
      <c r="J17" s="137"/>
      <c r="K17" s="138">
        <v>63</v>
      </c>
      <c r="L17" s="138"/>
      <c r="M17" s="139" t="s">
        <v>200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144</v>
      </c>
      <c r="C18" s="136"/>
      <c r="D18" s="136"/>
      <c r="E18" s="136"/>
      <c r="F18" s="136"/>
      <c r="G18" s="136"/>
      <c r="H18" s="137">
        <v>1</v>
      </c>
      <c r="I18" s="137"/>
      <c r="J18" s="137"/>
      <c r="K18" s="138">
        <v>82</v>
      </c>
      <c r="L18" s="138"/>
      <c r="M18" s="139" t="s">
        <v>198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 t="s">
        <v>273</v>
      </c>
      <c r="C19" s="136"/>
      <c r="D19" s="136"/>
      <c r="E19" s="136"/>
      <c r="F19" s="136"/>
      <c r="G19" s="136"/>
      <c r="H19" s="137">
        <v>1</v>
      </c>
      <c r="I19" s="137"/>
      <c r="J19" s="137"/>
      <c r="K19" s="138">
        <v>27</v>
      </c>
      <c r="L19" s="138"/>
      <c r="M19" s="139" t="s">
        <v>198</v>
      </c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 t="s">
        <v>115</v>
      </c>
      <c r="C20" s="136"/>
      <c r="D20" s="136"/>
      <c r="E20" s="136"/>
      <c r="F20" s="136"/>
      <c r="G20" s="136"/>
      <c r="H20" s="137">
        <v>4</v>
      </c>
      <c r="I20" s="137"/>
      <c r="J20" s="137"/>
      <c r="K20" s="138">
        <v>357</v>
      </c>
      <c r="L20" s="138"/>
      <c r="M20" s="152" t="s">
        <v>163</v>
      </c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 t="s">
        <v>270</v>
      </c>
      <c r="C21" s="136"/>
      <c r="D21" s="136"/>
      <c r="E21" s="136"/>
      <c r="F21" s="136"/>
      <c r="G21" s="136"/>
      <c r="H21" s="137">
        <v>6</v>
      </c>
      <c r="I21" s="137"/>
      <c r="J21" s="137"/>
      <c r="K21" s="138">
        <v>223</v>
      </c>
      <c r="L21" s="138"/>
      <c r="M21" s="139" t="s">
        <v>163</v>
      </c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 t="s">
        <v>287</v>
      </c>
      <c r="C22" s="136"/>
      <c r="D22" s="136"/>
      <c r="E22" s="136"/>
      <c r="F22" s="136"/>
      <c r="G22" s="136"/>
      <c r="H22" s="137">
        <v>6</v>
      </c>
      <c r="I22" s="137"/>
      <c r="J22" s="137"/>
      <c r="K22" s="138">
        <v>493</v>
      </c>
      <c r="L22" s="138"/>
      <c r="M22" s="139" t="s">
        <v>196</v>
      </c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 t="s">
        <v>288</v>
      </c>
      <c r="C23" s="136"/>
      <c r="D23" s="136"/>
      <c r="E23" s="136"/>
      <c r="F23" s="136"/>
      <c r="G23" s="136"/>
      <c r="H23" s="137">
        <v>2</v>
      </c>
      <c r="I23" s="137"/>
      <c r="J23" s="137"/>
      <c r="K23" s="138">
        <v>102</v>
      </c>
      <c r="L23" s="138"/>
      <c r="M23" s="139" t="s">
        <v>212</v>
      </c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 t="s">
        <v>122</v>
      </c>
      <c r="C24" s="136"/>
      <c r="D24" s="136"/>
      <c r="E24" s="136"/>
      <c r="F24" s="136"/>
      <c r="G24" s="136"/>
      <c r="H24" s="137">
        <v>7</v>
      </c>
      <c r="I24" s="137"/>
      <c r="J24" s="137"/>
      <c r="K24" s="138">
        <v>414</v>
      </c>
      <c r="L24" s="138"/>
      <c r="M24" s="139" t="s">
        <v>286</v>
      </c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 t="s">
        <v>289</v>
      </c>
      <c r="C25" s="136"/>
      <c r="D25" s="136"/>
      <c r="E25" s="136"/>
      <c r="F25" s="136"/>
      <c r="G25" s="136"/>
      <c r="H25" s="137">
        <v>8</v>
      </c>
      <c r="I25" s="137"/>
      <c r="J25" s="137"/>
      <c r="K25" s="138">
        <v>548</v>
      </c>
      <c r="L25" s="138"/>
      <c r="M25" s="139" t="s">
        <v>163</v>
      </c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 t="s">
        <v>290</v>
      </c>
      <c r="C26" s="136"/>
      <c r="D26" s="136"/>
      <c r="E26" s="136"/>
      <c r="F26" s="136"/>
      <c r="G26" s="136"/>
      <c r="H26" s="137">
        <v>127</v>
      </c>
      <c r="I26" s="137"/>
      <c r="J26" s="137"/>
      <c r="K26" s="138">
        <v>2417</v>
      </c>
      <c r="L26" s="138"/>
      <c r="M26" s="139" t="s">
        <v>205</v>
      </c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 t="s">
        <v>291</v>
      </c>
      <c r="C27" s="136"/>
      <c r="D27" s="136"/>
      <c r="E27" s="136"/>
      <c r="F27" s="136"/>
      <c r="G27" s="136"/>
      <c r="H27" s="137">
        <v>87</v>
      </c>
      <c r="I27" s="137"/>
      <c r="J27" s="137"/>
      <c r="K27" s="138">
        <v>2525</v>
      </c>
      <c r="L27" s="138"/>
      <c r="M27" s="139" t="s">
        <v>205</v>
      </c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 t="s">
        <v>238</v>
      </c>
      <c r="C28" s="136"/>
      <c r="D28" s="136"/>
      <c r="E28" s="136"/>
      <c r="F28" s="136"/>
      <c r="G28" s="136"/>
      <c r="H28" s="137">
        <v>5</v>
      </c>
      <c r="I28" s="137"/>
      <c r="J28" s="137"/>
      <c r="K28" s="138">
        <v>259</v>
      </c>
      <c r="L28" s="138"/>
      <c r="M28" s="139" t="s">
        <v>212</v>
      </c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 t="s">
        <v>255</v>
      </c>
      <c r="C29" s="136"/>
      <c r="D29" s="136"/>
      <c r="E29" s="136"/>
      <c r="F29" s="136"/>
      <c r="G29" s="136"/>
      <c r="H29" s="137">
        <v>21</v>
      </c>
      <c r="I29" s="137"/>
      <c r="J29" s="137"/>
      <c r="K29" s="138">
        <v>1078</v>
      </c>
      <c r="L29" s="138"/>
      <c r="M29" s="139" t="s">
        <v>212</v>
      </c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 t="s">
        <v>253</v>
      </c>
      <c r="C30" s="136"/>
      <c r="D30" s="136"/>
      <c r="E30" s="136"/>
      <c r="F30" s="136"/>
      <c r="G30" s="136"/>
      <c r="H30" s="137">
        <v>10</v>
      </c>
      <c r="I30" s="137"/>
      <c r="J30" s="137"/>
      <c r="K30" s="138">
        <v>472</v>
      </c>
      <c r="L30" s="138"/>
      <c r="M30" s="139" t="s">
        <v>210</v>
      </c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 t="s">
        <v>240</v>
      </c>
      <c r="C31" s="136"/>
      <c r="D31" s="136"/>
      <c r="E31" s="136"/>
      <c r="F31" s="136"/>
      <c r="G31" s="136"/>
      <c r="H31" s="137">
        <v>16</v>
      </c>
      <c r="I31" s="137"/>
      <c r="J31" s="137"/>
      <c r="K31" s="138">
        <v>790</v>
      </c>
      <c r="L31" s="138"/>
      <c r="M31" s="139" t="s">
        <v>212</v>
      </c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 t="s">
        <v>292</v>
      </c>
      <c r="C32" s="136"/>
      <c r="D32" s="136"/>
      <c r="E32" s="136"/>
      <c r="F32" s="136"/>
      <c r="G32" s="136"/>
      <c r="H32" s="137">
        <v>14</v>
      </c>
      <c r="I32" s="137"/>
      <c r="J32" s="137"/>
      <c r="K32" s="138">
        <v>951</v>
      </c>
      <c r="L32" s="138"/>
      <c r="M32" s="139" t="s">
        <v>196</v>
      </c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 t="s">
        <v>293</v>
      </c>
      <c r="C33" s="136"/>
      <c r="D33" s="136"/>
      <c r="E33" s="136"/>
      <c r="F33" s="136"/>
      <c r="G33" s="136"/>
      <c r="H33" s="137">
        <v>5</v>
      </c>
      <c r="I33" s="137"/>
      <c r="J33" s="137"/>
      <c r="K33" s="138">
        <v>285</v>
      </c>
      <c r="L33" s="138"/>
      <c r="M33" s="139" t="s">
        <v>212</v>
      </c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 t="s">
        <v>125</v>
      </c>
      <c r="C34" s="136"/>
      <c r="D34" s="136"/>
      <c r="E34" s="136"/>
      <c r="F34" s="136"/>
      <c r="G34" s="136"/>
      <c r="H34" s="137">
        <v>1</v>
      </c>
      <c r="I34" s="137"/>
      <c r="J34" s="137"/>
      <c r="K34" s="138">
        <v>57</v>
      </c>
      <c r="L34" s="138"/>
      <c r="M34" s="139" t="s">
        <v>216</v>
      </c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331</v>
      </c>
      <c r="I35" s="156"/>
      <c r="J35" s="157"/>
      <c r="K35" s="158">
        <f>SUM(K15:L34)</f>
        <v>11429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298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296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297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295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O532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523769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Summit Alliance Port Ltd. (SAPL).
Katghar, South Patenga, Chattogram.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1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319464-5832</v>
      </c>
      <c r="C55" s="146"/>
      <c r="D55" s="146"/>
      <c r="E55" s="146"/>
      <c r="F55" s="146"/>
      <c r="G55" s="146"/>
      <c r="H55" s="147">
        <f>H15</f>
        <v>6</v>
      </c>
      <c r="I55" s="148"/>
      <c r="J55" s="149"/>
      <c r="K55" s="150">
        <f>K15</f>
        <v>248</v>
      </c>
      <c r="L55" s="151"/>
      <c r="M55" s="133" t="str">
        <f>M15</f>
        <v>OT,OFITW128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300626-5832</v>
      </c>
      <c r="C56" s="136"/>
      <c r="D56" s="136"/>
      <c r="E56" s="136"/>
      <c r="F56" s="136"/>
      <c r="G56" s="136"/>
      <c r="H56" s="137">
        <f>H16</f>
        <v>2</v>
      </c>
      <c r="I56" s="137"/>
      <c r="J56" s="137"/>
      <c r="K56" s="138">
        <f>K16</f>
        <v>38</v>
      </c>
      <c r="L56" s="138"/>
      <c r="M56" s="139" t="str">
        <f t="shared" ref="M56:M74" si="0">M16</f>
        <v>OO,OJ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307355-5832</v>
      </c>
      <c r="C57" s="136"/>
      <c r="D57" s="136"/>
      <c r="E57" s="136"/>
      <c r="F57" s="136"/>
      <c r="G57" s="136"/>
      <c r="H57" s="137">
        <f>H17</f>
        <v>2</v>
      </c>
      <c r="I57" s="137"/>
      <c r="J57" s="137"/>
      <c r="K57" s="138">
        <f>K17</f>
        <v>63</v>
      </c>
      <c r="L57" s="138"/>
      <c r="M57" s="139" t="str">
        <f t="shared" si="0"/>
        <v>OO,OJ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318242-5832</v>
      </c>
      <c r="C58" s="136"/>
      <c r="D58" s="136"/>
      <c r="E58" s="136"/>
      <c r="F58" s="136"/>
      <c r="G58" s="136"/>
      <c r="H58" s="137">
        <f t="shared" ref="H58:H74" si="3">H18</f>
        <v>1</v>
      </c>
      <c r="I58" s="137"/>
      <c r="J58" s="137"/>
      <c r="K58" s="138">
        <f t="shared" ref="K58:K74" si="4">K18</f>
        <v>82</v>
      </c>
      <c r="L58" s="138"/>
      <c r="M58" s="139" t="str">
        <f t="shared" si="0"/>
        <v>OO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 t="str">
        <f t="shared" si="1"/>
        <v>291816-5832</v>
      </c>
      <c r="C59" s="136"/>
      <c r="D59" s="136"/>
      <c r="E59" s="136"/>
      <c r="F59" s="136"/>
      <c r="G59" s="136"/>
      <c r="H59" s="137">
        <f t="shared" si="3"/>
        <v>1</v>
      </c>
      <c r="I59" s="137"/>
      <c r="J59" s="137"/>
      <c r="K59" s="138">
        <f t="shared" si="4"/>
        <v>27</v>
      </c>
      <c r="L59" s="138"/>
      <c r="M59" s="139" t="str">
        <f t="shared" si="0"/>
        <v>OO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 t="str">
        <f t="shared" si="1"/>
        <v>323690-5832</v>
      </c>
      <c r="C60" s="136"/>
      <c r="D60" s="136"/>
      <c r="E60" s="136"/>
      <c r="F60" s="136"/>
      <c r="G60" s="136"/>
      <c r="H60" s="137">
        <f t="shared" si="3"/>
        <v>4</v>
      </c>
      <c r="I60" s="137"/>
      <c r="J60" s="137"/>
      <c r="K60" s="138">
        <f t="shared" si="4"/>
        <v>357</v>
      </c>
      <c r="L60" s="138"/>
      <c r="M60" s="139" t="str">
        <f t="shared" si="0"/>
        <v>OT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 t="str">
        <f t="shared" si="1"/>
        <v>309643-5832</v>
      </c>
      <c r="C61" s="136"/>
      <c r="D61" s="136"/>
      <c r="E61" s="136"/>
      <c r="F61" s="136"/>
      <c r="G61" s="136"/>
      <c r="H61" s="137">
        <f t="shared" si="3"/>
        <v>6</v>
      </c>
      <c r="I61" s="137"/>
      <c r="J61" s="137"/>
      <c r="K61" s="138">
        <f t="shared" si="4"/>
        <v>223</v>
      </c>
      <c r="L61" s="138"/>
      <c r="M61" s="139" t="str">
        <f t="shared" si="0"/>
        <v>OT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 t="str">
        <f t="shared" si="1"/>
        <v>300722-5832</v>
      </c>
      <c r="C62" s="136"/>
      <c r="D62" s="136"/>
      <c r="E62" s="136"/>
      <c r="F62" s="136"/>
      <c r="G62" s="136"/>
      <c r="H62" s="137">
        <f t="shared" si="3"/>
        <v>6</v>
      </c>
      <c r="I62" s="137"/>
      <c r="J62" s="137"/>
      <c r="K62" s="138">
        <f t="shared" si="4"/>
        <v>493</v>
      </c>
      <c r="L62" s="138"/>
      <c r="M62" s="139" t="str">
        <f t="shared" si="0"/>
        <v>JP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 t="str">
        <f t="shared" si="1"/>
        <v>316251-5832</v>
      </c>
      <c r="C63" s="136"/>
      <c r="D63" s="136"/>
      <c r="E63" s="136"/>
      <c r="F63" s="136"/>
      <c r="G63" s="136"/>
      <c r="H63" s="137">
        <f t="shared" si="3"/>
        <v>2</v>
      </c>
      <c r="I63" s="137"/>
      <c r="J63" s="137"/>
      <c r="K63" s="138">
        <f t="shared" si="4"/>
        <v>102</v>
      </c>
      <c r="L63" s="138"/>
      <c r="M63" s="139" t="str">
        <f t="shared" si="0"/>
        <v>TR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 t="str">
        <f t="shared" si="1"/>
        <v>315866-5832</v>
      </c>
      <c r="C64" s="136"/>
      <c r="D64" s="136"/>
      <c r="E64" s="136"/>
      <c r="F64" s="136"/>
      <c r="G64" s="136"/>
      <c r="H64" s="137">
        <f t="shared" si="3"/>
        <v>7</v>
      </c>
      <c r="I64" s="137"/>
      <c r="J64" s="137"/>
      <c r="K64" s="138">
        <f t="shared" si="4"/>
        <v>414</v>
      </c>
      <c r="L64" s="138"/>
      <c r="M64" s="139" t="str">
        <f t="shared" si="0"/>
        <v>OT,OFITW128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 t="str">
        <f t="shared" si="1"/>
        <v>315865-5832</v>
      </c>
      <c r="C65" s="136"/>
      <c r="D65" s="136"/>
      <c r="E65" s="136"/>
      <c r="F65" s="136"/>
      <c r="G65" s="136"/>
      <c r="H65" s="137">
        <f t="shared" si="3"/>
        <v>8</v>
      </c>
      <c r="I65" s="137"/>
      <c r="J65" s="137"/>
      <c r="K65" s="138">
        <f t="shared" si="4"/>
        <v>548</v>
      </c>
      <c r="L65" s="138"/>
      <c r="M65" s="139" t="str">
        <f t="shared" si="0"/>
        <v>OT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 t="str">
        <f t="shared" si="1"/>
        <v>999596-5833</v>
      </c>
      <c r="C66" s="136"/>
      <c r="D66" s="136"/>
      <c r="E66" s="136"/>
      <c r="F66" s="136"/>
      <c r="G66" s="136"/>
      <c r="H66" s="137">
        <f t="shared" si="3"/>
        <v>127</v>
      </c>
      <c r="I66" s="137"/>
      <c r="J66" s="137"/>
      <c r="K66" s="138">
        <f t="shared" si="4"/>
        <v>2417</v>
      </c>
      <c r="L66" s="138"/>
      <c r="M66" s="139" t="str">
        <f t="shared" si="0"/>
        <v>CL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 t="str">
        <f t="shared" si="1"/>
        <v>987246-1643</v>
      </c>
      <c r="C67" s="136"/>
      <c r="D67" s="136"/>
      <c r="E67" s="136"/>
      <c r="F67" s="136"/>
      <c r="G67" s="136"/>
      <c r="H67" s="137">
        <f t="shared" si="3"/>
        <v>87</v>
      </c>
      <c r="I67" s="137"/>
      <c r="J67" s="137"/>
      <c r="K67" s="138">
        <f t="shared" si="4"/>
        <v>2525</v>
      </c>
      <c r="L67" s="138"/>
      <c r="M67" s="139" t="str">
        <f t="shared" si="0"/>
        <v>CL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 t="str">
        <f t="shared" si="1"/>
        <v>297318-5828</v>
      </c>
      <c r="C68" s="136"/>
      <c r="D68" s="136"/>
      <c r="E68" s="136"/>
      <c r="F68" s="136"/>
      <c r="G68" s="136"/>
      <c r="H68" s="137">
        <f t="shared" si="3"/>
        <v>5</v>
      </c>
      <c r="I68" s="137"/>
      <c r="J68" s="137"/>
      <c r="K68" s="138">
        <f t="shared" si="4"/>
        <v>259</v>
      </c>
      <c r="L68" s="138"/>
      <c r="M68" s="139" t="str">
        <f t="shared" si="0"/>
        <v>TR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 t="str">
        <f t="shared" si="1"/>
        <v>297320-5828</v>
      </c>
      <c r="C69" s="136"/>
      <c r="D69" s="136"/>
      <c r="E69" s="136"/>
      <c r="F69" s="136"/>
      <c r="G69" s="136"/>
      <c r="H69" s="137">
        <f t="shared" si="3"/>
        <v>21</v>
      </c>
      <c r="I69" s="137"/>
      <c r="J69" s="137"/>
      <c r="K69" s="138">
        <f t="shared" si="4"/>
        <v>1078</v>
      </c>
      <c r="L69" s="138"/>
      <c r="M69" s="139" t="str">
        <f t="shared" si="0"/>
        <v>TR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 t="str">
        <f t="shared" si="1"/>
        <v>309497-5828</v>
      </c>
      <c r="C70" s="136"/>
      <c r="D70" s="136"/>
      <c r="E70" s="136"/>
      <c r="F70" s="136"/>
      <c r="G70" s="136"/>
      <c r="H70" s="137">
        <f t="shared" si="3"/>
        <v>10</v>
      </c>
      <c r="I70" s="137"/>
      <c r="J70" s="137"/>
      <c r="K70" s="138">
        <f t="shared" si="4"/>
        <v>472</v>
      </c>
      <c r="L70" s="138"/>
      <c r="M70" s="139" t="str">
        <f t="shared" si="0"/>
        <v>OFITW128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 t="str">
        <f t="shared" si="1"/>
        <v>297321-5828</v>
      </c>
      <c r="C71" s="136"/>
      <c r="D71" s="136"/>
      <c r="E71" s="136"/>
      <c r="F71" s="136"/>
      <c r="G71" s="136"/>
      <c r="H71" s="137">
        <f t="shared" si="3"/>
        <v>16</v>
      </c>
      <c r="I71" s="137"/>
      <c r="J71" s="137"/>
      <c r="K71" s="138">
        <f t="shared" si="4"/>
        <v>790</v>
      </c>
      <c r="L71" s="138"/>
      <c r="M71" s="139" t="str">
        <f t="shared" si="0"/>
        <v>TR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 t="str">
        <f t="shared" si="1"/>
        <v>300635-5832</v>
      </c>
      <c r="C72" s="136"/>
      <c r="D72" s="136"/>
      <c r="E72" s="136"/>
      <c r="F72" s="136"/>
      <c r="G72" s="136"/>
      <c r="H72" s="137">
        <f t="shared" si="3"/>
        <v>14</v>
      </c>
      <c r="I72" s="137"/>
      <c r="J72" s="137"/>
      <c r="K72" s="138">
        <f t="shared" si="4"/>
        <v>951</v>
      </c>
      <c r="L72" s="138"/>
      <c r="M72" s="139" t="str">
        <f t="shared" si="0"/>
        <v>JP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 t="str">
        <f t="shared" si="5"/>
        <v>307397-5832</v>
      </c>
      <c r="C73" s="136"/>
      <c r="D73" s="136"/>
      <c r="E73" s="136"/>
      <c r="F73" s="136"/>
      <c r="G73" s="136"/>
      <c r="H73" s="137">
        <f t="shared" si="3"/>
        <v>5</v>
      </c>
      <c r="I73" s="137"/>
      <c r="J73" s="137"/>
      <c r="K73" s="138">
        <f t="shared" si="4"/>
        <v>285</v>
      </c>
      <c r="L73" s="138"/>
      <c r="M73" s="139" t="str">
        <f t="shared" si="0"/>
        <v>TR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 t="str">
        <f t="shared" si="5"/>
        <v>328562-7952</v>
      </c>
      <c r="C74" s="136"/>
      <c r="D74" s="136"/>
      <c r="E74" s="136"/>
      <c r="F74" s="136"/>
      <c r="G74" s="136"/>
      <c r="H74" s="137">
        <f t="shared" si="3"/>
        <v>1</v>
      </c>
      <c r="I74" s="137"/>
      <c r="J74" s="137"/>
      <c r="K74" s="138">
        <f t="shared" si="4"/>
        <v>57</v>
      </c>
      <c r="L74" s="138"/>
      <c r="M74" s="139" t="str">
        <f t="shared" si="0"/>
        <v>LH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331</v>
      </c>
      <c r="I75" s="156"/>
      <c r="J75" s="157"/>
      <c r="K75" s="158">
        <f>SUM(K55:L74)</f>
        <v>11429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MD.PARVAS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01975-826014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O992649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D.M.TA 11-8563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O532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523769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Summit Alliance Port Ltd. (SAPL).
Katghar, South Patenga, Chattogram.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1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319464-5832</v>
      </c>
      <c r="C95" s="146"/>
      <c r="D95" s="146"/>
      <c r="E95" s="146"/>
      <c r="F95" s="146"/>
      <c r="G95" s="146"/>
      <c r="H95" s="147">
        <f>H55</f>
        <v>6</v>
      </c>
      <c r="I95" s="148"/>
      <c r="J95" s="149"/>
      <c r="K95" s="150">
        <f>K55</f>
        <v>248</v>
      </c>
      <c r="L95" s="151"/>
      <c r="M95" s="133" t="str">
        <f>M55</f>
        <v>OT,OFITW128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300626-5832</v>
      </c>
      <c r="C96" s="136"/>
      <c r="D96" s="136"/>
      <c r="E96" s="136"/>
      <c r="F96" s="136"/>
      <c r="G96" s="136"/>
      <c r="H96" s="137">
        <f>H56</f>
        <v>2</v>
      </c>
      <c r="I96" s="137"/>
      <c r="J96" s="137"/>
      <c r="K96" s="138">
        <f>K56</f>
        <v>38</v>
      </c>
      <c r="L96" s="138"/>
      <c r="M96" s="139" t="str">
        <f>M56</f>
        <v>OO,OJ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307355-5832</v>
      </c>
      <c r="C97" s="136"/>
      <c r="D97" s="136"/>
      <c r="E97" s="136"/>
      <c r="F97" s="136"/>
      <c r="G97" s="136"/>
      <c r="H97" s="137">
        <f>H57</f>
        <v>2</v>
      </c>
      <c r="I97" s="137"/>
      <c r="J97" s="137"/>
      <c r="K97" s="138">
        <f>K57</f>
        <v>63</v>
      </c>
      <c r="L97" s="138"/>
      <c r="M97" s="139" t="str">
        <f t="shared" ref="M97:M114" si="7">M57</f>
        <v>OO,OJ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318242-5832</v>
      </c>
      <c r="C98" s="136"/>
      <c r="D98" s="136"/>
      <c r="E98" s="136"/>
      <c r="F98" s="136"/>
      <c r="G98" s="136"/>
      <c r="H98" s="137">
        <f t="shared" ref="H98:H114" si="9">H58</f>
        <v>1</v>
      </c>
      <c r="I98" s="137"/>
      <c r="J98" s="137"/>
      <c r="K98" s="138">
        <f t="shared" ref="K98:K114" si="10">K58</f>
        <v>82</v>
      </c>
      <c r="L98" s="138"/>
      <c r="M98" s="139" t="str">
        <f t="shared" si="7"/>
        <v>OO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 t="str">
        <f t="shared" si="6"/>
        <v>291816-5832</v>
      </c>
      <c r="C99" s="136"/>
      <c r="D99" s="136"/>
      <c r="E99" s="136"/>
      <c r="F99" s="136"/>
      <c r="G99" s="136"/>
      <c r="H99" s="137">
        <f t="shared" si="9"/>
        <v>1</v>
      </c>
      <c r="I99" s="137"/>
      <c r="J99" s="137"/>
      <c r="K99" s="138">
        <f t="shared" si="10"/>
        <v>27</v>
      </c>
      <c r="L99" s="138"/>
      <c r="M99" s="139" t="str">
        <f t="shared" si="7"/>
        <v>OO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 t="str">
        <f t="shared" si="6"/>
        <v>323690-5832</v>
      </c>
      <c r="C100" s="136"/>
      <c r="D100" s="136"/>
      <c r="E100" s="136"/>
      <c r="F100" s="136"/>
      <c r="G100" s="136"/>
      <c r="H100" s="137">
        <f t="shared" si="9"/>
        <v>4</v>
      </c>
      <c r="I100" s="137"/>
      <c r="J100" s="137"/>
      <c r="K100" s="138">
        <f t="shared" si="10"/>
        <v>357</v>
      </c>
      <c r="L100" s="138"/>
      <c r="M100" s="139" t="str">
        <f t="shared" si="7"/>
        <v>OT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 t="str">
        <f t="shared" si="6"/>
        <v>309643-5832</v>
      </c>
      <c r="C101" s="136"/>
      <c r="D101" s="136"/>
      <c r="E101" s="136"/>
      <c r="F101" s="136"/>
      <c r="G101" s="136"/>
      <c r="H101" s="137">
        <f t="shared" si="9"/>
        <v>6</v>
      </c>
      <c r="I101" s="137"/>
      <c r="J101" s="137"/>
      <c r="K101" s="138">
        <f t="shared" si="10"/>
        <v>223</v>
      </c>
      <c r="L101" s="138"/>
      <c r="M101" s="139" t="str">
        <f t="shared" si="7"/>
        <v>OT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 t="str">
        <f t="shared" si="6"/>
        <v>300722-5832</v>
      </c>
      <c r="C102" s="136"/>
      <c r="D102" s="136"/>
      <c r="E102" s="136"/>
      <c r="F102" s="136"/>
      <c r="G102" s="136"/>
      <c r="H102" s="137">
        <f t="shared" si="9"/>
        <v>6</v>
      </c>
      <c r="I102" s="137"/>
      <c r="J102" s="137"/>
      <c r="K102" s="138">
        <f t="shared" si="10"/>
        <v>493</v>
      </c>
      <c r="L102" s="138"/>
      <c r="M102" s="139" t="str">
        <f t="shared" si="7"/>
        <v>JP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 t="str">
        <f t="shared" si="6"/>
        <v>316251-5832</v>
      </c>
      <c r="C103" s="136"/>
      <c r="D103" s="136"/>
      <c r="E103" s="136"/>
      <c r="F103" s="136"/>
      <c r="G103" s="136"/>
      <c r="H103" s="137">
        <f t="shared" si="9"/>
        <v>2</v>
      </c>
      <c r="I103" s="137"/>
      <c r="J103" s="137"/>
      <c r="K103" s="138">
        <f t="shared" si="10"/>
        <v>102</v>
      </c>
      <c r="L103" s="138"/>
      <c r="M103" s="139" t="str">
        <f t="shared" si="7"/>
        <v>TR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 t="str">
        <f t="shared" si="6"/>
        <v>315866-5832</v>
      </c>
      <c r="C104" s="136"/>
      <c r="D104" s="136"/>
      <c r="E104" s="136"/>
      <c r="F104" s="136"/>
      <c r="G104" s="136"/>
      <c r="H104" s="137">
        <f t="shared" si="9"/>
        <v>7</v>
      </c>
      <c r="I104" s="137"/>
      <c r="J104" s="137"/>
      <c r="K104" s="138">
        <f t="shared" si="10"/>
        <v>414</v>
      </c>
      <c r="L104" s="138"/>
      <c r="M104" s="139" t="str">
        <f t="shared" si="7"/>
        <v>OT,OFITW128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 t="str">
        <f t="shared" si="6"/>
        <v>315865-5832</v>
      </c>
      <c r="C105" s="136"/>
      <c r="D105" s="136"/>
      <c r="E105" s="136"/>
      <c r="F105" s="136"/>
      <c r="G105" s="136"/>
      <c r="H105" s="137">
        <f t="shared" si="9"/>
        <v>8</v>
      </c>
      <c r="I105" s="137"/>
      <c r="J105" s="137"/>
      <c r="K105" s="138">
        <f t="shared" si="10"/>
        <v>548</v>
      </c>
      <c r="L105" s="138"/>
      <c r="M105" s="139" t="str">
        <f t="shared" si="7"/>
        <v>OT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 t="str">
        <f t="shared" si="6"/>
        <v>999596-5833</v>
      </c>
      <c r="C106" s="136"/>
      <c r="D106" s="136"/>
      <c r="E106" s="136"/>
      <c r="F106" s="136"/>
      <c r="G106" s="136"/>
      <c r="H106" s="137">
        <f t="shared" si="9"/>
        <v>127</v>
      </c>
      <c r="I106" s="137"/>
      <c r="J106" s="137"/>
      <c r="K106" s="138">
        <f t="shared" si="10"/>
        <v>2417</v>
      </c>
      <c r="L106" s="138"/>
      <c r="M106" s="139" t="str">
        <f t="shared" si="7"/>
        <v>CL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 t="str">
        <f t="shared" si="6"/>
        <v>987246-1643</v>
      </c>
      <c r="C107" s="136"/>
      <c r="D107" s="136"/>
      <c r="E107" s="136"/>
      <c r="F107" s="136"/>
      <c r="G107" s="136"/>
      <c r="H107" s="137">
        <f t="shared" si="9"/>
        <v>87</v>
      </c>
      <c r="I107" s="137"/>
      <c r="J107" s="137"/>
      <c r="K107" s="138">
        <f t="shared" si="10"/>
        <v>2525</v>
      </c>
      <c r="L107" s="138"/>
      <c r="M107" s="139" t="str">
        <f t="shared" si="7"/>
        <v>CL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 t="str">
        <f t="shared" si="6"/>
        <v>297318-5828</v>
      </c>
      <c r="C108" s="136"/>
      <c r="D108" s="136"/>
      <c r="E108" s="136"/>
      <c r="F108" s="136"/>
      <c r="G108" s="136"/>
      <c r="H108" s="137">
        <f t="shared" si="9"/>
        <v>5</v>
      </c>
      <c r="I108" s="137"/>
      <c r="J108" s="137"/>
      <c r="K108" s="138">
        <f t="shared" si="10"/>
        <v>259</v>
      </c>
      <c r="L108" s="138"/>
      <c r="M108" s="139" t="str">
        <f t="shared" si="7"/>
        <v>TR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 t="str">
        <f t="shared" si="6"/>
        <v>297320-5828</v>
      </c>
      <c r="C109" s="136"/>
      <c r="D109" s="136"/>
      <c r="E109" s="136"/>
      <c r="F109" s="136"/>
      <c r="G109" s="136"/>
      <c r="H109" s="137">
        <f t="shared" si="9"/>
        <v>21</v>
      </c>
      <c r="I109" s="137"/>
      <c r="J109" s="137"/>
      <c r="K109" s="138">
        <f t="shared" si="10"/>
        <v>1078</v>
      </c>
      <c r="L109" s="138"/>
      <c r="M109" s="139" t="str">
        <f t="shared" si="7"/>
        <v>TR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 t="str">
        <f t="shared" si="6"/>
        <v>309497-5828</v>
      </c>
      <c r="C110" s="136"/>
      <c r="D110" s="136"/>
      <c r="E110" s="136"/>
      <c r="F110" s="136"/>
      <c r="G110" s="136"/>
      <c r="H110" s="137">
        <f t="shared" si="9"/>
        <v>10</v>
      </c>
      <c r="I110" s="137"/>
      <c r="J110" s="137"/>
      <c r="K110" s="138">
        <f t="shared" si="10"/>
        <v>472</v>
      </c>
      <c r="L110" s="138"/>
      <c r="M110" s="139" t="str">
        <f t="shared" si="7"/>
        <v>OFITW128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 t="str">
        <f t="shared" si="6"/>
        <v>297321-5828</v>
      </c>
      <c r="C111" s="136"/>
      <c r="D111" s="136"/>
      <c r="E111" s="136"/>
      <c r="F111" s="136"/>
      <c r="G111" s="136"/>
      <c r="H111" s="137">
        <f t="shared" si="9"/>
        <v>16</v>
      </c>
      <c r="I111" s="137"/>
      <c r="J111" s="137"/>
      <c r="K111" s="138">
        <f t="shared" si="10"/>
        <v>790</v>
      </c>
      <c r="L111" s="138"/>
      <c r="M111" s="139" t="str">
        <f t="shared" si="7"/>
        <v>TR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 t="str">
        <f t="shared" si="6"/>
        <v>300635-5832</v>
      </c>
      <c r="C112" s="136"/>
      <c r="D112" s="136"/>
      <c r="E112" s="136"/>
      <c r="F112" s="136"/>
      <c r="G112" s="136"/>
      <c r="H112" s="137">
        <f t="shared" si="9"/>
        <v>14</v>
      </c>
      <c r="I112" s="137"/>
      <c r="J112" s="137"/>
      <c r="K112" s="138">
        <f t="shared" si="10"/>
        <v>951</v>
      </c>
      <c r="L112" s="138"/>
      <c r="M112" s="139" t="str">
        <f t="shared" si="7"/>
        <v>JP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 t="str">
        <f t="shared" si="11"/>
        <v>307397-5832</v>
      </c>
      <c r="C113" s="136"/>
      <c r="D113" s="136"/>
      <c r="E113" s="136"/>
      <c r="F113" s="136"/>
      <c r="G113" s="136"/>
      <c r="H113" s="137">
        <f t="shared" si="9"/>
        <v>5</v>
      </c>
      <c r="I113" s="137"/>
      <c r="J113" s="137"/>
      <c r="K113" s="138">
        <f t="shared" si="10"/>
        <v>285</v>
      </c>
      <c r="L113" s="138"/>
      <c r="M113" s="139" t="str">
        <f t="shared" si="7"/>
        <v>TR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 t="str">
        <f t="shared" si="11"/>
        <v>328562-7952</v>
      </c>
      <c r="C114" s="136"/>
      <c r="D114" s="136"/>
      <c r="E114" s="136"/>
      <c r="F114" s="136"/>
      <c r="G114" s="136"/>
      <c r="H114" s="137">
        <f t="shared" si="9"/>
        <v>1</v>
      </c>
      <c r="I114" s="137"/>
      <c r="J114" s="137"/>
      <c r="K114" s="138">
        <f t="shared" si="10"/>
        <v>57</v>
      </c>
      <c r="L114" s="138"/>
      <c r="M114" s="139" t="str">
        <f t="shared" si="7"/>
        <v>LH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331</v>
      </c>
      <c r="I115" s="156"/>
      <c r="J115" s="157"/>
      <c r="K115" s="158">
        <f>SUM(K95:L114)</f>
        <v>11429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MD.PARVAS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01975-826014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O992649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D.M.TA 11-8563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O532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523769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Summit Alliance Port Ltd. (SAPL).
Katghar, South Patenga, Chattogram.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1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319464-5832</v>
      </c>
      <c r="C135" s="146"/>
      <c r="D135" s="146"/>
      <c r="E135" s="146"/>
      <c r="F135" s="146"/>
      <c r="G135" s="146"/>
      <c r="H135" s="187">
        <f>H95</f>
        <v>6</v>
      </c>
      <c r="I135" s="188"/>
      <c r="J135" s="189"/>
      <c r="K135" s="190">
        <f>K95</f>
        <v>248</v>
      </c>
      <c r="L135" s="191"/>
      <c r="M135" s="133" t="str">
        <f>M95</f>
        <v>OT,OFITW128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300626-5832</v>
      </c>
      <c r="C136" s="136"/>
      <c r="D136" s="136"/>
      <c r="E136" s="136"/>
      <c r="F136" s="136"/>
      <c r="G136" s="136"/>
      <c r="H136" s="179">
        <f>H96</f>
        <v>2</v>
      </c>
      <c r="I136" s="180"/>
      <c r="J136" s="181"/>
      <c r="K136" s="182">
        <f>K96</f>
        <v>38</v>
      </c>
      <c r="L136" s="183"/>
      <c r="M136" s="184" t="str">
        <f>M96</f>
        <v>OO,OJ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307355-5832</v>
      </c>
      <c r="C137" s="136"/>
      <c r="D137" s="136"/>
      <c r="E137" s="136"/>
      <c r="F137" s="136"/>
      <c r="G137" s="136"/>
      <c r="H137" s="179">
        <f>H97</f>
        <v>2</v>
      </c>
      <c r="I137" s="180"/>
      <c r="J137" s="181"/>
      <c r="K137" s="182">
        <f>K97</f>
        <v>63</v>
      </c>
      <c r="L137" s="183"/>
      <c r="M137" s="184" t="str">
        <f t="shared" ref="M137:M154" si="13">M97</f>
        <v>OO,OJ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318242-5832</v>
      </c>
      <c r="C138" s="136"/>
      <c r="D138" s="136"/>
      <c r="E138" s="136"/>
      <c r="F138" s="136"/>
      <c r="G138" s="136"/>
      <c r="H138" s="179">
        <f t="shared" ref="H138:H154" si="15">H98</f>
        <v>1</v>
      </c>
      <c r="I138" s="180"/>
      <c r="J138" s="181"/>
      <c r="K138" s="182">
        <f t="shared" ref="K138:K154" si="16">K98</f>
        <v>82</v>
      </c>
      <c r="L138" s="183"/>
      <c r="M138" s="184" t="str">
        <f t="shared" si="13"/>
        <v>OO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 t="str">
        <f t="shared" si="12"/>
        <v>291816-5832</v>
      </c>
      <c r="C139" s="136"/>
      <c r="D139" s="136"/>
      <c r="E139" s="136"/>
      <c r="F139" s="136"/>
      <c r="G139" s="136"/>
      <c r="H139" s="179">
        <f t="shared" si="15"/>
        <v>1</v>
      </c>
      <c r="I139" s="180"/>
      <c r="J139" s="181"/>
      <c r="K139" s="182">
        <f t="shared" si="16"/>
        <v>27</v>
      </c>
      <c r="L139" s="183"/>
      <c r="M139" s="184" t="str">
        <f t="shared" si="13"/>
        <v>OO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 t="str">
        <f t="shared" si="12"/>
        <v>323690-5832</v>
      </c>
      <c r="C140" s="136"/>
      <c r="D140" s="136"/>
      <c r="E140" s="136"/>
      <c r="F140" s="136"/>
      <c r="G140" s="136"/>
      <c r="H140" s="179">
        <f t="shared" si="15"/>
        <v>4</v>
      </c>
      <c r="I140" s="180"/>
      <c r="J140" s="181"/>
      <c r="K140" s="182">
        <f t="shared" si="16"/>
        <v>357</v>
      </c>
      <c r="L140" s="183"/>
      <c r="M140" s="184" t="str">
        <f t="shared" si="13"/>
        <v>OT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 t="str">
        <f t="shared" si="12"/>
        <v>309643-5832</v>
      </c>
      <c r="C141" s="136"/>
      <c r="D141" s="136"/>
      <c r="E141" s="136"/>
      <c r="F141" s="136"/>
      <c r="G141" s="136"/>
      <c r="H141" s="179">
        <f t="shared" si="15"/>
        <v>6</v>
      </c>
      <c r="I141" s="180"/>
      <c r="J141" s="181"/>
      <c r="K141" s="182">
        <f t="shared" si="16"/>
        <v>223</v>
      </c>
      <c r="L141" s="183"/>
      <c r="M141" s="184" t="str">
        <f t="shared" si="13"/>
        <v>OT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 t="str">
        <f t="shared" si="12"/>
        <v>300722-5832</v>
      </c>
      <c r="C142" s="136"/>
      <c r="D142" s="136"/>
      <c r="E142" s="136"/>
      <c r="F142" s="136"/>
      <c r="G142" s="136"/>
      <c r="H142" s="179">
        <f t="shared" si="15"/>
        <v>6</v>
      </c>
      <c r="I142" s="180"/>
      <c r="J142" s="181"/>
      <c r="K142" s="182">
        <f t="shared" si="16"/>
        <v>493</v>
      </c>
      <c r="L142" s="183"/>
      <c r="M142" s="184" t="str">
        <f t="shared" si="13"/>
        <v>JP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 t="str">
        <f t="shared" si="12"/>
        <v>316251-5832</v>
      </c>
      <c r="C143" s="136"/>
      <c r="D143" s="136"/>
      <c r="E143" s="136"/>
      <c r="F143" s="136"/>
      <c r="G143" s="136"/>
      <c r="H143" s="179">
        <f t="shared" si="15"/>
        <v>2</v>
      </c>
      <c r="I143" s="180"/>
      <c r="J143" s="181"/>
      <c r="K143" s="182">
        <f t="shared" si="16"/>
        <v>102</v>
      </c>
      <c r="L143" s="183"/>
      <c r="M143" s="184" t="str">
        <f t="shared" si="13"/>
        <v>TR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 t="str">
        <f t="shared" si="12"/>
        <v>315866-5832</v>
      </c>
      <c r="C144" s="136"/>
      <c r="D144" s="136"/>
      <c r="E144" s="136"/>
      <c r="F144" s="136"/>
      <c r="G144" s="136"/>
      <c r="H144" s="179">
        <f t="shared" si="15"/>
        <v>7</v>
      </c>
      <c r="I144" s="180"/>
      <c r="J144" s="181"/>
      <c r="K144" s="182">
        <f t="shared" si="16"/>
        <v>414</v>
      </c>
      <c r="L144" s="183"/>
      <c r="M144" s="184" t="str">
        <f t="shared" si="13"/>
        <v>OT,OFITW128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 t="str">
        <f t="shared" si="12"/>
        <v>315865-5832</v>
      </c>
      <c r="C145" s="136"/>
      <c r="D145" s="136"/>
      <c r="E145" s="136"/>
      <c r="F145" s="136"/>
      <c r="G145" s="136"/>
      <c r="H145" s="179">
        <f t="shared" si="15"/>
        <v>8</v>
      </c>
      <c r="I145" s="180"/>
      <c r="J145" s="181"/>
      <c r="K145" s="182">
        <f t="shared" si="16"/>
        <v>548</v>
      </c>
      <c r="L145" s="183"/>
      <c r="M145" s="184" t="str">
        <f t="shared" si="13"/>
        <v>OT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 t="str">
        <f t="shared" si="12"/>
        <v>999596-5833</v>
      </c>
      <c r="C146" s="136"/>
      <c r="D146" s="136"/>
      <c r="E146" s="136"/>
      <c r="F146" s="136"/>
      <c r="G146" s="136"/>
      <c r="H146" s="179">
        <f t="shared" si="15"/>
        <v>127</v>
      </c>
      <c r="I146" s="180"/>
      <c r="J146" s="181"/>
      <c r="K146" s="182">
        <f t="shared" si="16"/>
        <v>2417</v>
      </c>
      <c r="L146" s="183"/>
      <c r="M146" s="184" t="str">
        <f t="shared" si="13"/>
        <v>CL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 t="str">
        <f t="shared" si="12"/>
        <v>987246-1643</v>
      </c>
      <c r="C147" s="136"/>
      <c r="D147" s="136"/>
      <c r="E147" s="136"/>
      <c r="F147" s="136"/>
      <c r="G147" s="136"/>
      <c r="H147" s="179">
        <f t="shared" si="15"/>
        <v>87</v>
      </c>
      <c r="I147" s="180"/>
      <c r="J147" s="181"/>
      <c r="K147" s="182">
        <f t="shared" si="16"/>
        <v>2525</v>
      </c>
      <c r="L147" s="183"/>
      <c r="M147" s="184" t="str">
        <f t="shared" si="13"/>
        <v>CL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 t="str">
        <f t="shared" si="12"/>
        <v>297318-5828</v>
      </c>
      <c r="C148" s="136"/>
      <c r="D148" s="136"/>
      <c r="E148" s="136"/>
      <c r="F148" s="136"/>
      <c r="G148" s="136"/>
      <c r="H148" s="179">
        <f t="shared" si="15"/>
        <v>5</v>
      </c>
      <c r="I148" s="180"/>
      <c r="J148" s="181"/>
      <c r="K148" s="182">
        <f t="shared" si="16"/>
        <v>259</v>
      </c>
      <c r="L148" s="183"/>
      <c r="M148" s="184" t="str">
        <f t="shared" si="13"/>
        <v>TR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 t="str">
        <f t="shared" si="12"/>
        <v>297320-5828</v>
      </c>
      <c r="C149" s="136"/>
      <c r="D149" s="136"/>
      <c r="E149" s="136"/>
      <c r="F149" s="136"/>
      <c r="G149" s="136"/>
      <c r="H149" s="179">
        <f t="shared" si="15"/>
        <v>21</v>
      </c>
      <c r="I149" s="180"/>
      <c r="J149" s="181"/>
      <c r="K149" s="182">
        <f t="shared" si="16"/>
        <v>1078</v>
      </c>
      <c r="L149" s="183"/>
      <c r="M149" s="184" t="str">
        <f t="shared" si="13"/>
        <v>TR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 t="str">
        <f t="shared" si="12"/>
        <v>309497-5828</v>
      </c>
      <c r="C150" s="136"/>
      <c r="D150" s="136"/>
      <c r="E150" s="136"/>
      <c r="F150" s="136"/>
      <c r="G150" s="136"/>
      <c r="H150" s="179">
        <f t="shared" si="15"/>
        <v>10</v>
      </c>
      <c r="I150" s="180"/>
      <c r="J150" s="181"/>
      <c r="K150" s="182">
        <f t="shared" si="16"/>
        <v>472</v>
      </c>
      <c r="L150" s="183"/>
      <c r="M150" s="184" t="str">
        <f t="shared" si="13"/>
        <v>OFITW128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 t="str">
        <f t="shared" si="12"/>
        <v>297321-5828</v>
      </c>
      <c r="C151" s="136"/>
      <c r="D151" s="136"/>
      <c r="E151" s="136"/>
      <c r="F151" s="136"/>
      <c r="G151" s="136"/>
      <c r="H151" s="179">
        <f t="shared" si="15"/>
        <v>16</v>
      </c>
      <c r="I151" s="180"/>
      <c r="J151" s="181"/>
      <c r="K151" s="182">
        <f t="shared" si="16"/>
        <v>790</v>
      </c>
      <c r="L151" s="183"/>
      <c r="M151" s="184" t="str">
        <f t="shared" si="13"/>
        <v>TR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 t="str">
        <f t="shared" si="12"/>
        <v>300635-5832</v>
      </c>
      <c r="C152" s="136"/>
      <c r="D152" s="136"/>
      <c r="E152" s="136"/>
      <c r="F152" s="136"/>
      <c r="G152" s="136"/>
      <c r="H152" s="179">
        <f t="shared" si="15"/>
        <v>14</v>
      </c>
      <c r="I152" s="180"/>
      <c r="J152" s="181"/>
      <c r="K152" s="182">
        <f t="shared" si="16"/>
        <v>951</v>
      </c>
      <c r="L152" s="183"/>
      <c r="M152" s="184" t="str">
        <f t="shared" si="13"/>
        <v>JP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 t="str">
        <f t="shared" si="17"/>
        <v>307397-5832</v>
      </c>
      <c r="C153" s="136"/>
      <c r="D153" s="136"/>
      <c r="E153" s="136"/>
      <c r="F153" s="136"/>
      <c r="G153" s="136"/>
      <c r="H153" s="179">
        <f t="shared" si="15"/>
        <v>5</v>
      </c>
      <c r="I153" s="180"/>
      <c r="J153" s="181"/>
      <c r="K153" s="182">
        <f t="shared" si="16"/>
        <v>285</v>
      </c>
      <c r="L153" s="183"/>
      <c r="M153" s="184" t="str">
        <f t="shared" si="13"/>
        <v>TR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 t="str">
        <f t="shared" si="17"/>
        <v>328562-7952</v>
      </c>
      <c r="C154" s="136"/>
      <c r="D154" s="136"/>
      <c r="E154" s="136"/>
      <c r="F154" s="136"/>
      <c r="G154" s="136"/>
      <c r="H154" s="179">
        <f t="shared" si="15"/>
        <v>1</v>
      </c>
      <c r="I154" s="180"/>
      <c r="J154" s="181"/>
      <c r="K154" s="182">
        <f t="shared" si="16"/>
        <v>57</v>
      </c>
      <c r="L154" s="183"/>
      <c r="M154" s="184" t="str">
        <f t="shared" si="13"/>
        <v>LH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331</v>
      </c>
      <c r="I155" s="195"/>
      <c r="J155" s="196"/>
      <c r="K155" s="158">
        <f>SUM(K135:L154)</f>
        <v>11429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MD.PARVAS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01975-826014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O992649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D.M.TA 11-8563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L8:P8 L48:P48 L88:P88 L128:P128" xr:uid="{15C773AC-D901-49A8-B77B-88BE086BE295}">
      <formula1>Mode</formula1>
    </dataValidation>
    <dataValidation type="list" allowBlank="1" showInputMessage="1" showErrorMessage="1" sqref="A8 A48 A88 A128" xr:uid="{0FEE79CD-4402-41C4-8EB0-9301AF36BF44}">
      <formula1>$T$7:$T$35</formula1>
    </dataValidation>
    <dataValidation type="list" allowBlank="1" showInputMessage="1" showErrorMessage="1" sqref="L9:P11 L49:P51 L89:P91 L129:P131" xr:uid="{D36BE3DD-74E5-448A-8F59-48D985F4FB29}">
      <formula1>Carrier</formula1>
    </dataValidation>
    <dataValidation type="list" allowBlank="1" showInputMessage="1" showErrorMessage="1" sqref="C14:D14 C94:D94 C54:D54 C134:D134" xr:uid="{3DA66048-EF8B-4FBC-BAF3-B86046E7A605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F77-CA7B-486F-830E-ED32E5344B3C}">
  <sheetPr>
    <tabColor rgb="FF00B050"/>
  </sheetPr>
  <dimension ref="A1:Y168"/>
  <sheetViews>
    <sheetView view="pageBreakPreview" zoomScaleNormal="100" zoomScaleSheetLayoutView="100" workbookViewId="0">
      <selection activeCell="D37" sqref="D37:F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185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114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190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274</v>
      </c>
      <c r="C15" s="146"/>
      <c r="D15" s="146"/>
      <c r="E15" s="146"/>
      <c r="F15" s="146"/>
      <c r="G15" s="146"/>
      <c r="H15" s="147">
        <v>2</v>
      </c>
      <c r="I15" s="148"/>
      <c r="J15" s="149"/>
      <c r="K15" s="150">
        <v>34</v>
      </c>
      <c r="L15" s="151"/>
      <c r="M15" s="133" t="s">
        <v>200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275</v>
      </c>
      <c r="C16" s="136"/>
      <c r="D16" s="136"/>
      <c r="E16" s="136"/>
      <c r="F16" s="136"/>
      <c r="G16" s="136"/>
      <c r="H16" s="137">
        <v>7</v>
      </c>
      <c r="I16" s="137"/>
      <c r="J16" s="137"/>
      <c r="K16" s="138">
        <v>271</v>
      </c>
      <c r="L16" s="138"/>
      <c r="M16" s="139" t="s">
        <v>200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 t="s">
        <v>294</v>
      </c>
      <c r="C17" s="136"/>
      <c r="D17" s="136"/>
      <c r="E17" s="136"/>
      <c r="F17" s="136"/>
      <c r="G17" s="136"/>
      <c r="H17" s="137">
        <v>8</v>
      </c>
      <c r="I17" s="137"/>
      <c r="J17" s="137"/>
      <c r="K17" s="138">
        <v>471</v>
      </c>
      <c r="L17" s="138"/>
      <c r="M17" s="139" t="s">
        <v>196</v>
      </c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 t="s">
        <v>134</v>
      </c>
      <c r="C18" s="136"/>
      <c r="D18" s="136"/>
      <c r="E18" s="136"/>
      <c r="F18" s="136"/>
      <c r="G18" s="136"/>
      <c r="H18" s="137">
        <v>1</v>
      </c>
      <c r="I18" s="137"/>
      <c r="J18" s="137"/>
      <c r="K18" s="138">
        <v>46</v>
      </c>
      <c r="L18" s="138"/>
      <c r="M18" s="139" t="s">
        <v>216</v>
      </c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/>
      <c r="I19" s="137"/>
      <c r="J19" s="137"/>
      <c r="K19" s="138"/>
      <c r="L19" s="138"/>
      <c r="M19" s="139"/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/>
      <c r="I20" s="137"/>
      <c r="J20" s="137"/>
      <c r="K20" s="138"/>
      <c r="L20" s="138"/>
      <c r="M20" s="152"/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/>
      <c r="I21" s="137"/>
      <c r="J21" s="137"/>
      <c r="K21" s="138"/>
      <c r="L21" s="138"/>
      <c r="M21" s="139"/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18</v>
      </c>
      <c r="I35" s="156"/>
      <c r="J35" s="157"/>
      <c r="K35" s="158">
        <f>SUM(K15:L34)</f>
        <v>822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298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296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297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295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O533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523758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Summit Alliance Port Ltd. (SAPL).
Katghar, South Patenga, Chattogram.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283988-5828</v>
      </c>
      <c r="C55" s="146"/>
      <c r="D55" s="146"/>
      <c r="E55" s="146"/>
      <c r="F55" s="146"/>
      <c r="G55" s="146"/>
      <c r="H55" s="147">
        <f>H15</f>
        <v>2</v>
      </c>
      <c r="I55" s="148"/>
      <c r="J55" s="149"/>
      <c r="K55" s="150">
        <f>K15</f>
        <v>34</v>
      </c>
      <c r="L55" s="151"/>
      <c r="M55" s="133" t="str">
        <f>M15</f>
        <v>OO,OJ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284072-5828</v>
      </c>
      <c r="C56" s="136"/>
      <c r="D56" s="136"/>
      <c r="E56" s="136"/>
      <c r="F56" s="136"/>
      <c r="G56" s="136"/>
      <c r="H56" s="137">
        <f>H16</f>
        <v>7</v>
      </c>
      <c r="I56" s="137"/>
      <c r="J56" s="137"/>
      <c r="K56" s="138">
        <f>K16</f>
        <v>271</v>
      </c>
      <c r="L56" s="138"/>
      <c r="M56" s="139" t="str">
        <f t="shared" ref="M56:M74" si="0">M16</f>
        <v>OO,OJ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 t="str">
        <f t="shared" si="1"/>
        <v>300634-5832</v>
      </c>
      <c r="C57" s="136"/>
      <c r="D57" s="136"/>
      <c r="E57" s="136"/>
      <c r="F57" s="136"/>
      <c r="G57" s="136"/>
      <c r="H57" s="137">
        <f>H17</f>
        <v>8</v>
      </c>
      <c r="I57" s="137"/>
      <c r="J57" s="137"/>
      <c r="K57" s="138">
        <f>K17</f>
        <v>471</v>
      </c>
      <c r="L57" s="138"/>
      <c r="M57" s="139" t="str">
        <f t="shared" si="0"/>
        <v>JP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 t="str">
        <f t="shared" si="1"/>
        <v>311047-5828</v>
      </c>
      <c r="C58" s="136"/>
      <c r="D58" s="136"/>
      <c r="E58" s="136"/>
      <c r="F58" s="136"/>
      <c r="G58" s="136"/>
      <c r="H58" s="137">
        <f t="shared" ref="H58:H74" si="3">H18</f>
        <v>1</v>
      </c>
      <c r="I58" s="137"/>
      <c r="J58" s="137"/>
      <c r="K58" s="138">
        <f t="shared" ref="K58:K74" si="4">K18</f>
        <v>46</v>
      </c>
      <c r="L58" s="138"/>
      <c r="M58" s="139" t="str">
        <f t="shared" si="0"/>
        <v>LH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>
        <f t="shared" si="1"/>
        <v>0</v>
      </c>
      <c r="C59" s="136"/>
      <c r="D59" s="136"/>
      <c r="E59" s="136"/>
      <c r="F59" s="136"/>
      <c r="G59" s="136"/>
      <c r="H59" s="137">
        <f t="shared" si="3"/>
        <v>0</v>
      </c>
      <c r="I59" s="137"/>
      <c r="J59" s="137"/>
      <c r="K59" s="138">
        <f t="shared" si="4"/>
        <v>0</v>
      </c>
      <c r="L59" s="138"/>
      <c r="M59" s="139">
        <f t="shared" si="0"/>
        <v>0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>
        <f t="shared" si="1"/>
        <v>0</v>
      </c>
      <c r="C60" s="136"/>
      <c r="D60" s="136"/>
      <c r="E60" s="136"/>
      <c r="F60" s="136"/>
      <c r="G60" s="136"/>
      <c r="H60" s="137">
        <f t="shared" si="3"/>
        <v>0</v>
      </c>
      <c r="I60" s="137"/>
      <c r="J60" s="137"/>
      <c r="K60" s="138">
        <f t="shared" si="4"/>
        <v>0</v>
      </c>
      <c r="L60" s="138"/>
      <c r="M60" s="139">
        <f t="shared" si="0"/>
        <v>0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>
        <f t="shared" si="1"/>
        <v>0</v>
      </c>
      <c r="C61" s="136"/>
      <c r="D61" s="136"/>
      <c r="E61" s="136"/>
      <c r="F61" s="136"/>
      <c r="G61" s="136"/>
      <c r="H61" s="137">
        <f t="shared" si="3"/>
        <v>0</v>
      </c>
      <c r="I61" s="137"/>
      <c r="J61" s="137"/>
      <c r="K61" s="138">
        <f t="shared" si="4"/>
        <v>0</v>
      </c>
      <c r="L61" s="138"/>
      <c r="M61" s="139">
        <f t="shared" si="0"/>
        <v>0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18</v>
      </c>
      <c r="I75" s="156"/>
      <c r="J75" s="157"/>
      <c r="K75" s="158">
        <f>SUM(K55:L74)</f>
        <v>822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MD.PARVAS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01975-826014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O992649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D.M.TA 11-8563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O533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523758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Summit Alliance Port Ltd. (SAPL).
Katghar, South Patenga, Chattogram.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283988-5828</v>
      </c>
      <c r="C95" s="146"/>
      <c r="D95" s="146"/>
      <c r="E95" s="146"/>
      <c r="F95" s="146"/>
      <c r="G95" s="146"/>
      <c r="H95" s="147">
        <f>H55</f>
        <v>2</v>
      </c>
      <c r="I95" s="148"/>
      <c r="J95" s="149"/>
      <c r="K95" s="150">
        <f>K55</f>
        <v>34</v>
      </c>
      <c r="L95" s="151"/>
      <c r="M95" s="133" t="str">
        <f>M55</f>
        <v>OO,OJ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284072-5828</v>
      </c>
      <c r="C96" s="136"/>
      <c r="D96" s="136"/>
      <c r="E96" s="136"/>
      <c r="F96" s="136"/>
      <c r="G96" s="136"/>
      <c r="H96" s="137">
        <f>H56</f>
        <v>7</v>
      </c>
      <c r="I96" s="137"/>
      <c r="J96" s="137"/>
      <c r="K96" s="138">
        <f>K56</f>
        <v>271</v>
      </c>
      <c r="L96" s="138"/>
      <c r="M96" s="139" t="str">
        <f>M56</f>
        <v>OO,OJ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 t="str">
        <f t="shared" si="6"/>
        <v>300634-5832</v>
      </c>
      <c r="C97" s="136"/>
      <c r="D97" s="136"/>
      <c r="E97" s="136"/>
      <c r="F97" s="136"/>
      <c r="G97" s="136"/>
      <c r="H97" s="137">
        <f>H57</f>
        <v>8</v>
      </c>
      <c r="I97" s="137"/>
      <c r="J97" s="137"/>
      <c r="K97" s="138">
        <f>K57</f>
        <v>471</v>
      </c>
      <c r="L97" s="138"/>
      <c r="M97" s="139" t="str">
        <f t="shared" ref="M97:M114" si="7">M57</f>
        <v>JP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 t="str">
        <f t="shared" si="6"/>
        <v>311047-5828</v>
      </c>
      <c r="C98" s="136"/>
      <c r="D98" s="136"/>
      <c r="E98" s="136"/>
      <c r="F98" s="136"/>
      <c r="G98" s="136"/>
      <c r="H98" s="137">
        <f t="shared" ref="H98:H114" si="9">H58</f>
        <v>1</v>
      </c>
      <c r="I98" s="137"/>
      <c r="J98" s="137"/>
      <c r="K98" s="138">
        <f t="shared" ref="K98:K114" si="10">K58</f>
        <v>46</v>
      </c>
      <c r="L98" s="138"/>
      <c r="M98" s="139" t="str">
        <f t="shared" si="7"/>
        <v>LH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0</v>
      </c>
      <c r="I99" s="137"/>
      <c r="J99" s="137"/>
      <c r="K99" s="138">
        <f t="shared" si="10"/>
        <v>0</v>
      </c>
      <c r="L99" s="138"/>
      <c r="M99" s="139">
        <f t="shared" si="7"/>
        <v>0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0</v>
      </c>
      <c r="I100" s="137"/>
      <c r="J100" s="137"/>
      <c r="K100" s="138">
        <f t="shared" si="10"/>
        <v>0</v>
      </c>
      <c r="L100" s="138"/>
      <c r="M100" s="139">
        <f t="shared" si="7"/>
        <v>0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0</v>
      </c>
      <c r="I101" s="137"/>
      <c r="J101" s="137"/>
      <c r="K101" s="138">
        <f t="shared" si="10"/>
        <v>0</v>
      </c>
      <c r="L101" s="138"/>
      <c r="M101" s="139">
        <f t="shared" si="7"/>
        <v>0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18</v>
      </c>
      <c r="I115" s="156"/>
      <c r="J115" s="157"/>
      <c r="K115" s="158">
        <f>SUM(K95:L114)</f>
        <v>822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MD.PARVAS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01975-826014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O992649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D.M.TA 11-8563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O533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523758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Summit Alliance Port Ltd. (SAPL).
Katghar, South Patenga, Chattogram.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283988-5828</v>
      </c>
      <c r="C135" s="146"/>
      <c r="D135" s="146"/>
      <c r="E135" s="146"/>
      <c r="F135" s="146"/>
      <c r="G135" s="146"/>
      <c r="H135" s="187">
        <f>H95</f>
        <v>2</v>
      </c>
      <c r="I135" s="188"/>
      <c r="J135" s="189"/>
      <c r="K135" s="190">
        <f>K95</f>
        <v>34</v>
      </c>
      <c r="L135" s="191"/>
      <c r="M135" s="133" t="str">
        <f>M95</f>
        <v>OO,OJ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284072-5828</v>
      </c>
      <c r="C136" s="136"/>
      <c r="D136" s="136"/>
      <c r="E136" s="136"/>
      <c r="F136" s="136"/>
      <c r="G136" s="136"/>
      <c r="H136" s="179">
        <f>H96</f>
        <v>7</v>
      </c>
      <c r="I136" s="180"/>
      <c r="J136" s="181"/>
      <c r="K136" s="182">
        <f>K96</f>
        <v>271</v>
      </c>
      <c r="L136" s="183"/>
      <c r="M136" s="184" t="str">
        <f>M96</f>
        <v>OO,OJ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 t="str">
        <f t="shared" si="12"/>
        <v>300634-5832</v>
      </c>
      <c r="C137" s="136"/>
      <c r="D137" s="136"/>
      <c r="E137" s="136"/>
      <c r="F137" s="136"/>
      <c r="G137" s="136"/>
      <c r="H137" s="179">
        <f>H97</f>
        <v>8</v>
      </c>
      <c r="I137" s="180"/>
      <c r="J137" s="181"/>
      <c r="K137" s="182">
        <f>K97</f>
        <v>471</v>
      </c>
      <c r="L137" s="183"/>
      <c r="M137" s="184" t="str">
        <f t="shared" ref="M137:M154" si="13">M97</f>
        <v>JP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 t="str">
        <f t="shared" si="12"/>
        <v>311047-5828</v>
      </c>
      <c r="C138" s="136"/>
      <c r="D138" s="136"/>
      <c r="E138" s="136"/>
      <c r="F138" s="136"/>
      <c r="G138" s="136"/>
      <c r="H138" s="179">
        <f t="shared" ref="H138:H154" si="15">H98</f>
        <v>1</v>
      </c>
      <c r="I138" s="180"/>
      <c r="J138" s="181"/>
      <c r="K138" s="182">
        <f t="shared" ref="K138:K154" si="16">K98</f>
        <v>46</v>
      </c>
      <c r="L138" s="183"/>
      <c r="M138" s="184" t="str">
        <f t="shared" si="13"/>
        <v>LH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0</v>
      </c>
      <c r="I139" s="180"/>
      <c r="J139" s="181"/>
      <c r="K139" s="182">
        <f t="shared" si="16"/>
        <v>0</v>
      </c>
      <c r="L139" s="183"/>
      <c r="M139" s="184">
        <f t="shared" si="13"/>
        <v>0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0</v>
      </c>
      <c r="I140" s="180"/>
      <c r="J140" s="181"/>
      <c r="K140" s="182">
        <f t="shared" si="16"/>
        <v>0</v>
      </c>
      <c r="L140" s="183"/>
      <c r="M140" s="184">
        <f t="shared" si="13"/>
        <v>0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0</v>
      </c>
      <c r="I141" s="180"/>
      <c r="J141" s="181"/>
      <c r="K141" s="182">
        <f t="shared" si="16"/>
        <v>0</v>
      </c>
      <c r="L141" s="183"/>
      <c r="M141" s="184">
        <f t="shared" si="13"/>
        <v>0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18</v>
      </c>
      <c r="I155" s="195"/>
      <c r="J155" s="196"/>
      <c r="K155" s="158">
        <f>SUM(K135:L154)</f>
        <v>822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MD.PARVAS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01975-826014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O992649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D.M.TA 11-8563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C14:D14 C94:D94 C54:D54 C134:D134" xr:uid="{F64E064E-97B1-4013-9C4B-E1313040D1CE}">
      <formula1>$W$7:$W$161</formula1>
    </dataValidation>
    <dataValidation type="list" allowBlank="1" showInputMessage="1" showErrorMessage="1" sqref="L9:P11 L49:P51 L89:P91 L129:P131" xr:uid="{03C742FE-2CCE-45EC-8945-CFEF67F6CE50}">
      <formula1>Carrier</formula1>
    </dataValidation>
    <dataValidation type="list" allowBlank="1" showInputMessage="1" showErrorMessage="1" sqref="A8 A48 A88 A128" xr:uid="{45186593-4D9D-42DD-AB80-A566914AF373}">
      <formula1>$T$7:$T$35</formula1>
    </dataValidation>
    <dataValidation type="list" allowBlank="1" showInputMessage="1" showErrorMessage="1" sqref="L8:P8 L48:P48 L88:P88 L128:P128" xr:uid="{A494D40C-D820-48E9-AB3F-9B23F57B3123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E832-A236-4E6A-975E-1421D74923DB}">
  <sheetPr>
    <tabColor rgb="FF00B050"/>
  </sheetPr>
  <dimension ref="A1:Y168"/>
  <sheetViews>
    <sheetView view="pageBreakPreview" zoomScaleNormal="100" zoomScaleSheetLayoutView="100" workbookViewId="0">
      <selection activeCell="AA37" sqref="AA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186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299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45683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261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1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300</v>
      </c>
      <c r="C15" s="146"/>
      <c r="D15" s="146"/>
      <c r="E15" s="146"/>
      <c r="F15" s="146"/>
      <c r="G15" s="146"/>
      <c r="H15" s="147">
        <v>218</v>
      </c>
      <c r="I15" s="148"/>
      <c r="J15" s="149"/>
      <c r="K15" s="150">
        <v>12562</v>
      </c>
      <c r="L15" s="151"/>
      <c r="M15" s="133" t="s">
        <v>301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300</v>
      </c>
      <c r="C16" s="136"/>
      <c r="D16" s="136"/>
      <c r="E16" s="136"/>
      <c r="F16" s="136"/>
      <c r="G16" s="136"/>
      <c r="H16" s="137">
        <v>156</v>
      </c>
      <c r="I16" s="137"/>
      <c r="J16" s="137"/>
      <c r="K16" s="138">
        <v>8949</v>
      </c>
      <c r="L16" s="138"/>
      <c r="M16" s="139" t="s">
        <v>302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/>
      <c r="C17" s="136"/>
      <c r="D17" s="136"/>
      <c r="E17" s="136"/>
      <c r="F17" s="136"/>
      <c r="G17" s="136"/>
      <c r="H17" s="137"/>
      <c r="I17" s="137"/>
      <c r="J17" s="137"/>
      <c r="K17" s="138"/>
      <c r="L17" s="138"/>
      <c r="M17" s="139"/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/>
      <c r="C18" s="136"/>
      <c r="D18" s="136"/>
      <c r="E18" s="136"/>
      <c r="F18" s="136"/>
      <c r="G18" s="136"/>
      <c r="H18" s="137"/>
      <c r="I18" s="137"/>
      <c r="J18" s="137"/>
      <c r="K18" s="138"/>
      <c r="L18" s="138"/>
      <c r="M18" s="139"/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/>
      <c r="I19" s="137"/>
      <c r="J19" s="137"/>
      <c r="K19" s="138"/>
      <c r="L19" s="138"/>
      <c r="M19" s="139"/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/>
      <c r="I20" s="137"/>
      <c r="J20" s="137"/>
      <c r="K20" s="138"/>
      <c r="L20" s="138"/>
      <c r="M20" s="152"/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/>
      <c r="I21" s="137"/>
      <c r="J21" s="137"/>
      <c r="K21" s="138"/>
      <c r="L21" s="138"/>
      <c r="M21" s="139"/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374</v>
      </c>
      <c r="I35" s="156"/>
      <c r="J35" s="157"/>
      <c r="K35" s="158">
        <f>SUM(K15:L34)</f>
        <v>21511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306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304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305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303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O534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523770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45683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Vertex Off-Dock Logistics Services Ltd.
1443/1509, Old Airport Road, Katghar, North Patenga,
Chattogram 4204,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1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308088-5832</v>
      </c>
      <c r="C55" s="146"/>
      <c r="D55" s="146"/>
      <c r="E55" s="146"/>
      <c r="F55" s="146"/>
      <c r="G55" s="146"/>
      <c r="H55" s="147">
        <f>H15</f>
        <v>218</v>
      </c>
      <c r="I55" s="148"/>
      <c r="J55" s="149"/>
      <c r="K55" s="150">
        <f>K15</f>
        <v>12562</v>
      </c>
      <c r="L55" s="151"/>
      <c r="M55" s="133" t="str">
        <f>M15</f>
        <v>US USW022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308088-5832</v>
      </c>
      <c r="C56" s="136"/>
      <c r="D56" s="136"/>
      <c r="E56" s="136"/>
      <c r="F56" s="136"/>
      <c r="G56" s="136"/>
      <c r="H56" s="137">
        <f>H16</f>
        <v>156</v>
      </c>
      <c r="I56" s="137"/>
      <c r="J56" s="137"/>
      <c r="K56" s="138">
        <f>K16</f>
        <v>8949</v>
      </c>
      <c r="L56" s="138"/>
      <c r="M56" s="139" t="str">
        <f t="shared" ref="M56:M74" si="0">M16</f>
        <v>US USW304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>
        <f t="shared" si="1"/>
        <v>0</v>
      </c>
      <c r="C57" s="136"/>
      <c r="D57" s="136"/>
      <c r="E57" s="136"/>
      <c r="F57" s="136"/>
      <c r="G57" s="136"/>
      <c r="H57" s="137">
        <f>H17</f>
        <v>0</v>
      </c>
      <c r="I57" s="137"/>
      <c r="J57" s="137"/>
      <c r="K57" s="138">
        <f>K17</f>
        <v>0</v>
      </c>
      <c r="L57" s="138"/>
      <c r="M57" s="139">
        <f t="shared" si="0"/>
        <v>0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>
        <f t="shared" si="1"/>
        <v>0</v>
      </c>
      <c r="C58" s="136"/>
      <c r="D58" s="136"/>
      <c r="E58" s="136"/>
      <c r="F58" s="136"/>
      <c r="G58" s="136"/>
      <c r="H58" s="137">
        <f t="shared" ref="H58:H74" si="3">H18</f>
        <v>0</v>
      </c>
      <c r="I58" s="137"/>
      <c r="J58" s="137"/>
      <c r="K58" s="138">
        <f t="shared" ref="K58:K74" si="4">K18</f>
        <v>0</v>
      </c>
      <c r="L58" s="138"/>
      <c r="M58" s="139">
        <f t="shared" si="0"/>
        <v>0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>
        <f t="shared" si="1"/>
        <v>0</v>
      </c>
      <c r="C59" s="136"/>
      <c r="D59" s="136"/>
      <c r="E59" s="136"/>
      <c r="F59" s="136"/>
      <c r="G59" s="136"/>
      <c r="H59" s="137">
        <f t="shared" si="3"/>
        <v>0</v>
      </c>
      <c r="I59" s="137"/>
      <c r="J59" s="137"/>
      <c r="K59" s="138">
        <f t="shared" si="4"/>
        <v>0</v>
      </c>
      <c r="L59" s="138"/>
      <c r="M59" s="139">
        <f t="shared" si="0"/>
        <v>0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>
        <f t="shared" si="1"/>
        <v>0</v>
      </c>
      <c r="C60" s="136"/>
      <c r="D60" s="136"/>
      <c r="E60" s="136"/>
      <c r="F60" s="136"/>
      <c r="G60" s="136"/>
      <c r="H60" s="137">
        <f t="shared" si="3"/>
        <v>0</v>
      </c>
      <c r="I60" s="137"/>
      <c r="J60" s="137"/>
      <c r="K60" s="138">
        <f t="shared" si="4"/>
        <v>0</v>
      </c>
      <c r="L60" s="138"/>
      <c r="M60" s="139">
        <f t="shared" si="0"/>
        <v>0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>
        <f t="shared" si="1"/>
        <v>0</v>
      </c>
      <c r="C61" s="136"/>
      <c r="D61" s="136"/>
      <c r="E61" s="136"/>
      <c r="F61" s="136"/>
      <c r="G61" s="136"/>
      <c r="H61" s="137">
        <f t="shared" si="3"/>
        <v>0</v>
      </c>
      <c r="I61" s="137"/>
      <c r="J61" s="137"/>
      <c r="K61" s="138">
        <f t="shared" si="4"/>
        <v>0</v>
      </c>
      <c r="L61" s="138"/>
      <c r="M61" s="139">
        <f t="shared" si="0"/>
        <v>0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374</v>
      </c>
      <c r="I75" s="156"/>
      <c r="J75" s="157"/>
      <c r="K75" s="158">
        <f>SUM(K55:L74)</f>
        <v>21511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MD.ROHIM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01879-127501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O679417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CM-TA 11-3010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O534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523770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45683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Vertex Off-Dock Logistics Services Ltd.
1443/1509, Old Airport Road, Katghar, North Patenga,
Chattogram 4204,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1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308088-5832</v>
      </c>
      <c r="C95" s="146"/>
      <c r="D95" s="146"/>
      <c r="E95" s="146"/>
      <c r="F95" s="146"/>
      <c r="G95" s="146"/>
      <c r="H95" s="147">
        <f>H55</f>
        <v>218</v>
      </c>
      <c r="I95" s="148"/>
      <c r="J95" s="149"/>
      <c r="K95" s="150">
        <f>K55</f>
        <v>12562</v>
      </c>
      <c r="L95" s="151"/>
      <c r="M95" s="133" t="str">
        <f>M55</f>
        <v>US USW022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308088-5832</v>
      </c>
      <c r="C96" s="136"/>
      <c r="D96" s="136"/>
      <c r="E96" s="136"/>
      <c r="F96" s="136"/>
      <c r="G96" s="136"/>
      <c r="H96" s="137">
        <f>H56</f>
        <v>156</v>
      </c>
      <c r="I96" s="137"/>
      <c r="J96" s="137"/>
      <c r="K96" s="138">
        <f>K56</f>
        <v>8949</v>
      </c>
      <c r="L96" s="138"/>
      <c r="M96" s="139" t="str">
        <f>M56</f>
        <v>US USW304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>
        <f t="shared" si="6"/>
        <v>0</v>
      </c>
      <c r="C97" s="136"/>
      <c r="D97" s="136"/>
      <c r="E97" s="136"/>
      <c r="F97" s="136"/>
      <c r="G97" s="136"/>
      <c r="H97" s="137">
        <f>H57</f>
        <v>0</v>
      </c>
      <c r="I97" s="137"/>
      <c r="J97" s="137"/>
      <c r="K97" s="138">
        <f>K57</f>
        <v>0</v>
      </c>
      <c r="L97" s="138"/>
      <c r="M97" s="139">
        <f t="shared" ref="M97:M114" si="7">M57</f>
        <v>0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>
        <f t="shared" si="6"/>
        <v>0</v>
      </c>
      <c r="C98" s="136"/>
      <c r="D98" s="136"/>
      <c r="E98" s="136"/>
      <c r="F98" s="136"/>
      <c r="G98" s="136"/>
      <c r="H98" s="137">
        <f t="shared" ref="H98:H114" si="9">H58</f>
        <v>0</v>
      </c>
      <c r="I98" s="137"/>
      <c r="J98" s="137"/>
      <c r="K98" s="138">
        <f t="shared" ref="K98:K114" si="10">K58</f>
        <v>0</v>
      </c>
      <c r="L98" s="138"/>
      <c r="M98" s="139">
        <f t="shared" si="7"/>
        <v>0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0</v>
      </c>
      <c r="I99" s="137"/>
      <c r="J99" s="137"/>
      <c r="K99" s="138">
        <f t="shared" si="10"/>
        <v>0</v>
      </c>
      <c r="L99" s="138"/>
      <c r="M99" s="139">
        <f t="shared" si="7"/>
        <v>0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0</v>
      </c>
      <c r="I100" s="137"/>
      <c r="J100" s="137"/>
      <c r="K100" s="138">
        <f t="shared" si="10"/>
        <v>0</v>
      </c>
      <c r="L100" s="138"/>
      <c r="M100" s="139">
        <f t="shared" si="7"/>
        <v>0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0</v>
      </c>
      <c r="I101" s="137"/>
      <c r="J101" s="137"/>
      <c r="K101" s="138">
        <f t="shared" si="10"/>
        <v>0</v>
      </c>
      <c r="L101" s="138"/>
      <c r="M101" s="139">
        <f t="shared" si="7"/>
        <v>0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374</v>
      </c>
      <c r="I115" s="156"/>
      <c r="J115" s="157"/>
      <c r="K115" s="158">
        <f>SUM(K95:L114)</f>
        <v>21511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MD.ROHIM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01879-127501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O679417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CM-TA 11-3010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O534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523770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45683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Vertex Off-Dock Logistics Services Ltd.
1443/1509, Old Airport Road, Katghar, North Patenga,
Chattogram 4204,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1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308088-5832</v>
      </c>
      <c r="C135" s="146"/>
      <c r="D135" s="146"/>
      <c r="E135" s="146"/>
      <c r="F135" s="146"/>
      <c r="G135" s="146"/>
      <c r="H135" s="187">
        <f>H95</f>
        <v>218</v>
      </c>
      <c r="I135" s="188"/>
      <c r="J135" s="189"/>
      <c r="K135" s="190">
        <f>K95</f>
        <v>12562</v>
      </c>
      <c r="L135" s="191"/>
      <c r="M135" s="133" t="str">
        <f>M95</f>
        <v>US USW022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308088-5832</v>
      </c>
      <c r="C136" s="136"/>
      <c r="D136" s="136"/>
      <c r="E136" s="136"/>
      <c r="F136" s="136"/>
      <c r="G136" s="136"/>
      <c r="H136" s="179">
        <f>H96</f>
        <v>156</v>
      </c>
      <c r="I136" s="180"/>
      <c r="J136" s="181"/>
      <c r="K136" s="182">
        <f>K96</f>
        <v>8949</v>
      </c>
      <c r="L136" s="183"/>
      <c r="M136" s="184" t="str">
        <f>M96</f>
        <v>US USW304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>
        <f t="shared" si="12"/>
        <v>0</v>
      </c>
      <c r="C137" s="136"/>
      <c r="D137" s="136"/>
      <c r="E137" s="136"/>
      <c r="F137" s="136"/>
      <c r="G137" s="136"/>
      <c r="H137" s="179">
        <f>H97</f>
        <v>0</v>
      </c>
      <c r="I137" s="180"/>
      <c r="J137" s="181"/>
      <c r="K137" s="182">
        <f>K97</f>
        <v>0</v>
      </c>
      <c r="L137" s="183"/>
      <c r="M137" s="184">
        <f t="shared" ref="M137:M154" si="13">M97</f>
        <v>0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>
        <f t="shared" si="12"/>
        <v>0</v>
      </c>
      <c r="C138" s="136"/>
      <c r="D138" s="136"/>
      <c r="E138" s="136"/>
      <c r="F138" s="136"/>
      <c r="G138" s="136"/>
      <c r="H138" s="179">
        <f t="shared" ref="H138:H154" si="15">H98</f>
        <v>0</v>
      </c>
      <c r="I138" s="180"/>
      <c r="J138" s="181"/>
      <c r="K138" s="182">
        <f t="shared" ref="K138:K154" si="16">K98</f>
        <v>0</v>
      </c>
      <c r="L138" s="183"/>
      <c r="M138" s="184">
        <f t="shared" si="13"/>
        <v>0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0</v>
      </c>
      <c r="I139" s="180"/>
      <c r="J139" s="181"/>
      <c r="K139" s="182">
        <f t="shared" si="16"/>
        <v>0</v>
      </c>
      <c r="L139" s="183"/>
      <c r="M139" s="184">
        <f t="shared" si="13"/>
        <v>0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0</v>
      </c>
      <c r="I140" s="180"/>
      <c r="J140" s="181"/>
      <c r="K140" s="182">
        <f t="shared" si="16"/>
        <v>0</v>
      </c>
      <c r="L140" s="183"/>
      <c r="M140" s="184">
        <f t="shared" si="13"/>
        <v>0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0</v>
      </c>
      <c r="I141" s="180"/>
      <c r="J141" s="181"/>
      <c r="K141" s="182">
        <f t="shared" si="16"/>
        <v>0</v>
      </c>
      <c r="L141" s="183"/>
      <c r="M141" s="184">
        <f t="shared" si="13"/>
        <v>0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374</v>
      </c>
      <c r="I155" s="195"/>
      <c r="J155" s="196"/>
      <c r="K155" s="158">
        <f>SUM(K135:L154)</f>
        <v>21511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MD.ROHIM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01879-127501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O679417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CM-TA 11-3010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L8:P8 L48:P48 L88:P88 L128:P128" xr:uid="{12FD80DD-C6C2-4B35-9262-B93BDA2D9F11}">
      <formula1>Mode</formula1>
    </dataValidation>
    <dataValidation type="list" allowBlank="1" showInputMessage="1" showErrorMessage="1" sqref="A8 A48 A88 A128" xr:uid="{942A4366-F2A6-4BFB-AF91-C9BA938B797E}">
      <formula1>$T$7:$T$35</formula1>
    </dataValidation>
    <dataValidation type="list" allowBlank="1" showInputMessage="1" showErrorMessage="1" sqref="L9:P11 L49:P51 L89:P91 L129:P131" xr:uid="{62AF43A0-33A9-49B3-85B3-F0D46FB2F2AF}">
      <formula1>Carrier</formula1>
    </dataValidation>
    <dataValidation type="list" allowBlank="1" showInputMessage="1" showErrorMessage="1" sqref="C14:D14 C94:D94 C54:D54 C134:D134" xr:uid="{FFAF5E95-6631-4E99-9A7C-BA3F7D36DC1C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C5B5-0513-4073-9F83-689ECEB8AA8C}">
  <sheetPr>
    <tabColor rgb="FF00B050"/>
  </sheetPr>
  <dimension ref="A1:Y168"/>
  <sheetViews>
    <sheetView tabSelected="1" view="pageBreakPreview" zoomScaleNormal="100" zoomScaleSheetLayoutView="100" workbookViewId="0">
      <selection activeCell="Z15" sqref="Z15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187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308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45684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190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36" t="s">
        <v>123</v>
      </c>
      <c r="C15" s="136"/>
      <c r="D15" s="136"/>
      <c r="E15" s="136"/>
      <c r="F15" s="136"/>
      <c r="G15" s="136"/>
      <c r="H15" s="147">
        <v>6</v>
      </c>
      <c r="I15" s="148"/>
      <c r="J15" s="149"/>
      <c r="K15" s="150">
        <v>465</v>
      </c>
      <c r="L15" s="151"/>
      <c r="M15" s="133" t="s">
        <v>191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/>
      <c r="C16" s="136"/>
      <c r="D16" s="136"/>
      <c r="E16" s="136"/>
      <c r="F16" s="136"/>
      <c r="G16" s="136"/>
      <c r="H16" s="137"/>
      <c r="I16" s="137"/>
      <c r="J16" s="137"/>
      <c r="K16" s="138"/>
      <c r="L16" s="138"/>
      <c r="M16" s="139"/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/>
      <c r="C17" s="136"/>
      <c r="D17" s="136"/>
      <c r="E17" s="136"/>
      <c r="F17" s="136"/>
      <c r="G17" s="136"/>
      <c r="H17" s="137"/>
      <c r="I17" s="137"/>
      <c r="J17" s="137"/>
      <c r="K17" s="138"/>
      <c r="L17" s="138"/>
      <c r="M17" s="139"/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/>
      <c r="C18" s="136"/>
      <c r="D18" s="136"/>
      <c r="E18" s="136"/>
      <c r="F18" s="136"/>
      <c r="G18" s="136"/>
      <c r="H18" s="137"/>
      <c r="I18" s="137"/>
      <c r="J18" s="137"/>
      <c r="K18" s="138"/>
      <c r="L18" s="138"/>
      <c r="M18" s="139"/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/>
      <c r="I19" s="137"/>
      <c r="J19" s="137"/>
      <c r="K19" s="138"/>
      <c r="L19" s="138"/>
      <c r="M19" s="139"/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/>
      <c r="I20" s="137"/>
      <c r="J20" s="137"/>
      <c r="K20" s="138"/>
      <c r="L20" s="138"/>
      <c r="M20" s="152"/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/>
      <c r="I21" s="137"/>
      <c r="J21" s="137"/>
      <c r="K21" s="138"/>
      <c r="L21" s="138"/>
      <c r="M21" s="139"/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thickBot="1" x14ac:dyDescent="0.3">
      <c r="A34" s="32"/>
      <c r="B34" s="58"/>
      <c r="C34" s="58"/>
      <c r="D34" s="58"/>
      <c r="E34" s="58"/>
      <c r="F34" s="58"/>
      <c r="G34" s="5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57" t="s">
        <v>17</v>
      </c>
      <c r="H35" s="155">
        <f>SUM(H15:J34)</f>
        <v>6</v>
      </c>
      <c r="I35" s="156"/>
      <c r="J35" s="157"/>
      <c r="K35" s="158">
        <f>SUM(K15:L34)</f>
        <v>465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ht="19.5" x14ac:dyDescent="0.25">
      <c r="B36" s="61"/>
      <c r="C36" s="61"/>
      <c r="D36" s="166"/>
      <c r="E36" s="166"/>
      <c r="F36" s="166"/>
      <c r="G36" s="61" t="s">
        <v>23</v>
      </c>
      <c r="R36" s="25"/>
      <c r="S36" s="25"/>
      <c r="T36" s="22"/>
      <c r="W36" t="s">
        <v>83</v>
      </c>
    </row>
    <row r="37" spans="1:23" ht="31.9" customHeight="1" x14ac:dyDescent="0.25">
      <c r="A37" s="60" t="s">
        <v>22</v>
      </c>
      <c r="B37" s="63"/>
      <c r="C37" s="63"/>
      <c r="D37" s="171"/>
      <c r="E37" s="171"/>
      <c r="F37" s="171"/>
      <c r="G37" s="63" t="s">
        <v>25</v>
      </c>
      <c r="H37" s="61"/>
      <c r="I37" s="61"/>
      <c r="J37" s="61"/>
      <c r="K37" s="61"/>
      <c r="L37" s="61"/>
      <c r="M37" s="167"/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thickBot="1" x14ac:dyDescent="0.3">
      <c r="A38" s="62" t="s">
        <v>24</v>
      </c>
      <c r="B38" s="7"/>
      <c r="C38" s="7"/>
      <c r="F38" s="7"/>
      <c r="G38" s="7"/>
      <c r="H38" s="63"/>
      <c r="I38" s="63"/>
      <c r="J38" s="63"/>
      <c r="K38" s="63"/>
      <c r="L38" s="63"/>
      <c r="M38" s="172"/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Top="1" thickBot="1" x14ac:dyDescent="0.3">
      <c r="A39" s="7"/>
      <c r="B39" s="59"/>
      <c r="C39" s="59"/>
      <c r="D39" s="4"/>
      <c r="E39" s="4"/>
      <c r="F39" s="163" t="s">
        <v>19</v>
      </c>
      <c r="G39" s="163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59" t="s">
        <v>18</v>
      </c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>
      <c r="B41" s="38"/>
      <c r="C41" s="38"/>
      <c r="D41" s="39" t="s">
        <v>27</v>
      </c>
      <c r="E41" s="39"/>
      <c r="F41" s="39"/>
      <c r="G41" s="39"/>
    </row>
    <row r="42" spans="1:23" ht="36.75" customHeight="1" x14ac:dyDescent="0.25">
      <c r="A42" s="38"/>
      <c r="B42" s="38"/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38"/>
      <c r="B43" s="40"/>
      <c r="C43" s="40"/>
      <c r="D43" s="41" t="s">
        <v>21</v>
      </c>
      <c r="E43" s="41"/>
      <c r="F43" s="41"/>
      <c r="G43" s="41"/>
      <c r="H43" s="39"/>
      <c r="I43" s="39"/>
      <c r="J43" s="39"/>
      <c r="K43" s="39"/>
      <c r="L43" s="39"/>
      <c r="M43" s="66"/>
      <c r="N43" s="66"/>
      <c r="O43" s="66"/>
      <c r="P43" s="66"/>
      <c r="Q43" s="10"/>
    </row>
    <row r="44" spans="1:23" ht="17.45" customHeight="1" thickBot="1" x14ac:dyDescent="0.35">
      <c r="A44" s="40"/>
      <c r="B44" s="42"/>
      <c r="C44" s="1"/>
      <c r="D44" s="43" t="s">
        <v>90</v>
      </c>
      <c r="E44" s="43"/>
      <c r="F44" s="43"/>
      <c r="G44" s="43"/>
      <c r="H44" s="41"/>
      <c r="I44" s="41"/>
      <c r="J44" s="41"/>
      <c r="K44" s="41"/>
      <c r="L44" s="41"/>
      <c r="M44" s="11"/>
    </row>
    <row r="45" spans="1:23" ht="22.15" customHeight="1" thickBot="1" x14ac:dyDescent="0.35">
      <c r="A45" s="42"/>
      <c r="B45" s="51"/>
      <c r="C45" s="100" t="str">
        <f>C6</f>
        <v>O536</v>
      </c>
      <c r="D45" s="100"/>
      <c r="E45" s="100"/>
      <c r="F45" s="101"/>
      <c r="G45" s="2"/>
      <c r="H45" s="43"/>
      <c r="I45" s="43"/>
      <c r="J45" s="43"/>
      <c r="K45" s="43"/>
      <c r="L45" s="43"/>
      <c r="M45" s="2"/>
      <c r="N45" s="64"/>
      <c r="O45" s="64"/>
      <c r="P45" s="64"/>
    </row>
    <row r="46" spans="1:23" ht="15.6" customHeight="1" thickBot="1" x14ac:dyDescent="0.35">
      <c r="A46" s="50" t="s">
        <v>9</v>
      </c>
      <c r="B46" s="15"/>
      <c r="C46" s="15"/>
      <c r="D46" s="15"/>
      <c r="E46" s="15"/>
      <c r="F46" s="16"/>
      <c r="G46" s="2"/>
      <c r="H46" s="102" t="s">
        <v>4</v>
      </c>
      <c r="I46" s="103"/>
      <c r="J46" s="103"/>
      <c r="K46" s="8" t="s">
        <v>7</v>
      </c>
      <c r="L46" s="104" t="str">
        <f>L6</f>
        <v>JP 523772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45"/>
      <c r="C47" s="45"/>
      <c r="D47" s="45"/>
      <c r="E47" s="45"/>
      <c r="F47" s="46"/>
      <c r="G47" s="2"/>
      <c r="H47" s="79" t="s">
        <v>5</v>
      </c>
      <c r="I47" s="80"/>
      <c r="J47" s="80"/>
      <c r="K47" s="9" t="s">
        <v>7</v>
      </c>
      <c r="L47" s="106">
        <f>L7</f>
        <v>45684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44" t="str">
        <f>A8</f>
        <v>Summit Alliance Port Ltd. (SAPL).
Katghar, South Patenga, Chattogram.</v>
      </c>
      <c r="B48" s="45"/>
      <c r="C48" s="45"/>
      <c r="D48" s="45"/>
      <c r="E48" s="45"/>
      <c r="F48" s="46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thickBot="1" x14ac:dyDescent="0.35">
      <c r="A49" s="44"/>
      <c r="B49" s="48"/>
      <c r="C49" s="48"/>
      <c r="D49" s="48"/>
      <c r="E49" s="48"/>
      <c r="F49" s="49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47"/>
      <c r="B50" s="42"/>
      <c r="C50" s="1"/>
      <c r="D50" s="2"/>
      <c r="E50" s="2"/>
      <c r="F50" s="2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">
      <c r="A51" s="42"/>
      <c r="B51" s="53"/>
      <c r="C51" s="132" t="s">
        <v>0</v>
      </c>
      <c r="D51" s="132"/>
      <c r="E51" s="132"/>
      <c r="F51" s="132"/>
      <c r="G51" s="13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52" t="s">
        <v>12</v>
      </c>
      <c r="B52" s="33">
        <f>B13</f>
        <v>0</v>
      </c>
      <c r="C52" s="123" t="str">
        <f>C13</f>
        <v>Delivery of Readymade Garments</v>
      </c>
      <c r="D52" s="123"/>
      <c r="E52" s="123"/>
      <c r="F52" s="123"/>
      <c r="G52" s="123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thickBot="1" x14ac:dyDescent="0.3">
      <c r="A53" s="3" t="s">
        <v>13</v>
      </c>
      <c r="B53" s="55"/>
      <c r="C53" s="142" t="str">
        <f>C14</f>
        <v>H &amp; M</v>
      </c>
      <c r="D53" s="143"/>
      <c r="E53" s="144" t="s">
        <v>88</v>
      </c>
      <c r="F53" s="145"/>
      <c r="G53" s="141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54" t="s">
        <v>11</v>
      </c>
      <c r="B54" s="146" t="str">
        <f>B15</f>
        <v>316252-5832</v>
      </c>
      <c r="C54" s="146"/>
      <c r="D54" s="146"/>
      <c r="E54" s="146"/>
      <c r="F54" s="146"/>
      <c r="G54" s="146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36" t="e">
        <f>#REF!</f>
        <v>#REF!</v>
      </c>
      <c r="C55" s="136"/>
      <c r="D55" s="136"/>
      <c r="E55" s="136"/>
      <c r="F55" s="136"/>
      <c r="G55" s="136"/>
      <c r="H55" s="147">
        <f>H15</f>
        <v>6</v>
      </c>
      <c r="I55" s="148"/>
      <c r="J55" s="149"/>
      <c r="K55" s="150">
        <f>K15</f>
        <v>465</v>
      </c>
      <c r="L55" s="151"/>
      <c r="M55" s="133" t="str">
        <f>M15</f>
        <v>BE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>
        <f t="shared" ref="A56:B72" si="0">B16</f>
        <v>0</v>
      </c>
      <c r="C56" s="136"/>
      <c r="D56" s="136"/>
      <c r="E56" s="136"/>
      <c r="F56" s="136"/>
      <c r="G56" s="136"/>
      <c r="H56" s="137">
        <f>H16</f>
        <v>0</v>
      </c>
      <c r="I56" s="137"/>
      <c r="J56" s="137"/>
      <c r="K56" s="138">
        <f>K16</f>
        <v>0</v>
      </c>
      <c r="L56" s="138"/>
      <c r="M56" s="139">
        <f t="shared" ref="M56:M74" si="1">M16</f>
        <v>0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si="0"/>
        <v>0</v>
      </c>
      <c r="B57" s="136">
        <f t="shared" si="0"/>
        <v>0</v>
      </c>
      <c r="C57" s="136"/>
      <c r="D57" s="136"/>
      <c r="E57" s="136"/>
      <c r="F57" s="136"/>
      <c r="G57" s="136"/>
      <c r="H57" s="137">
        <f>H17</f>
        <v>0</v>
      </c>
      <c r="I57" s="137"/>
      <c r="J57" s="137"/>
      <c r="K57" s="138">
        <f>K17</f>
        <v>0</v>
      </c>
      <c r="L57" s="138"/>
      <c r="M57" s="139">
        <f t="shared" si="1"/>
        <v>0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0"/>
        <v>0</v>
      </c>
      <c r="B58" s="136">
        <f t="shared" si="0"/>
        <v>0</v>
      </c>
      <c r="C58" s="136"/>
      <c r="D58" s="136"/>
      <c r="E58" s="136"/>
      <c r="F58" s="136"/>
      <c r="G58" s="136"/>
      <c r="H58" s="137">
        <f t="shared" ref="H58:H74" si="3">H18</f>
        <v>0</v>
      </c>
      <c r="I58" s="137"/>
      <c r="J58" s="137"/>
      <c r="K58" s="138">
        <f t="shared" ref="K58:K74" si="4">K18</f>
        <v>0</v>
      </c>
      <c r="L58" s="138"/>
      <c r="M58" s="139">
        <f t="shared" si="1"/>
        <v>0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0"/>
        <v>0</v>
      </c>
      <c r="B59" s="136">
        <f t="shared" si="0"/>
        <v>0</v>
      </c>
      <c r="C59" s="136"/>
      <c r="D59" s="136"/>
      <c r="E59" s="136"/>
      <c r="F59" s="136"/>
      <c r="G59" s="136"/>
      <c r="H59" s="137">
        <f t="shared" si="3"/>
        <v>0</v>
      </c>
      <c r="I59" s="137"/>
      <c r="J59" s="137"/>
      <c r="K59" s="138">
        <f t="shared" si="4"/>
        <v>0</v>
      </c>
      <c r="L59" s="138"/>
      <c r="M59" s="139">
        <f t="shared" si="1"/>
        <v>0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0"/>
        <v>0</v>
      </c>
      <c r="B60" s="136">
        <f t="shared" si="0"/>
        <v>0</v>
      </c>
      <c r="C60" s="136"/>
      <c r="D60" s="136"/>
      <c r="E60" s="136"/>
      <c r="F60" s="136"/>
      <c r="G60" s="136"/>
      <c r="H60" s="137">
        <f t="shared" si="3"/>
        <v>0</v>
      </c>
      <c r="I60" s="137"/>
      <c r="J60" s="137"/>
      <c r="K60" s="138">
        <f t="shared" si="4"/>
        <v>0</v>
      </c>
      <c r="L60" s="138"/>
      <c r="M60" s="139">
        <f t="shared" si="1"/>
        <v>0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0"/>
        <v>0</v>
      </c>
      <c r="B61" s="136">
        <f t="shared" si="0"/>
        <v>0</v>
      </c>
      <c r="C61" s="136"/>
      <c r="D61" s="136"/>
      <c r="E61" s="136"/>
      <c r="F61" s="136"/>
      <c r="G61" s="136"/>
      <c r="H61" s="137">
        <f t="shared" si="3"/>
        <v>0</v>
      </c>
      <c r="I61" s="137"/>
      <c r="J61" s="137"/>
      <c r="K61" s="138">
        <f t="shared" si="4"/>
        <v>0</v>
      </c>
      <c r="L61" s="138"/>
      <c r="M61" s="139">
        <f t="shared" si="1"/>
        <v>0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0"/>
        <v>0</v>
      </c>
      <c r="B62" s="136">
        <f t="shared" si="0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1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0"/>
        <v>0</v>
      </c>
      <c r="B63" s="136">
        <f t="shared" si="0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1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0"/>
        <v>0</v>
      </c>
      <c r="B64" s="136">
        <f t="shared" si="0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1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0"/>
        <v>0</v>
      </c>
      <c r="B65" s="136">
        <f t="shared" si="0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1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0"/>
        <v>0</v>
      </c>
      <c r="B66" s="136">
        <f t="shared" si="0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1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0"/>
        <v>0</v>
      </c>
      <c r="B67" s="136">
        <f t="shared" si="0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1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0"/>
        <v>0</v>
      </c>
      <c r="B68" s="136">
        <f t="shared" si="0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1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0"/>
        <v>0</v>
      </c>
      <c r="B69" s="136">
        <f t="shared" si="0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1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0"/>
        <v>0</v>
      </c>
      <c r="B70" s="136">
        <f t="shared" si="0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1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0"/>
        <v>0</v>
      </c>
      <c r="B71" s="136">
        <f t="shared" si="0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1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0"/>
        <v>0</v>
      </c>
      <c r="B72" s="136">
        <f t="shared" ref="A72:B74" si="5">B32</f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1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si="5"/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1"/>
        <v>0</v>
      </c>
      <c r="N73" s="139"/>
      <c r="O73" s="139"/>
      <c r="P73" s="35">
        <f t="shared" si="2"/>
        <v>0</v>
      </c>
    </row>
    <row r="74" spans="1:20" ht="25.15" customHeight="1" thickBot="1" x14ac:dyDescent="0.3">
      <c r="A74" s="32">
        <f t="shared" si="5"/>
        <v>0</v>
      </c>
      <c r="B74" s="58"/>
      <c r="C74" s="58"/>
      <c r="D74" s="58"/>
      <c r="E74" s="58"/>
      <c r="F74" s="58"/>
      <c r="G74" s="5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1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57" t="s">
        <v>17</v>
      </c>
      <c r="H75" s="155">
        <f>SUM(H55:J74)</f>
        <v>6</v>
      </c>
      <c r="I75" s="156"/>
      <c r="J75" s="157"/>
      <c r="K75" s="158">
        <f>SUM(K55:L74)</f>
        <v>465</v>
      </c>
      <c r="L75" s="159"/>
      <c r="M75" s="160"/>
      <c r="N75" s="161"/>
      <c r="O75" s="162"/>
      <c r="P75" s="19"/>
    </row>
    <row r="76" spans="1:20" ht="19.5" x14ac:dyDescent="0.25">
      <c r="B76" s="61"/>
      <c r="C76" s="61"/>
      <c r="D76" s="166">
        <f>D36</f>
        <v>0</v>
      </c>
      <c r="E76" s="166"/>
      <c r="F76" s="166"/>
      <c r="G76" s="61" t="s">
        <v>23</v>
      </c>
    </row>
    <row r="77" spans="1:20" ht="31.9" customHeight="1" x14ac:dyDescent="0.25">
      <c r="A77" s="60" t="s">
        <v>22</v>
      </c>
      <c r="B77" s="63"/>
      <c r="C77" s="63"/>
      <c r="D77" s="171">
        <f>D37</f>
        <v>0</v>
      </c>
      <c r="E77" s="171"/>
      <c r="F77" s="171"/>
      <c r="G77" s="63" t="s">
        <v>25</v>
      </c>
      <c r="H77" s="61"/>
      <c r="I77" s="61"/>
      <c r="J77" s="61"/>
      <c r="K77" s="61"/>
      <c r="L77" s="61"/>
      <c r="M77" s="167">
        <f>M37</f>
        <v>0</v>
      </c>
      <c r="N77" s="167"/>
      <c r="O77" s="167"/>
      <c r="P77" s="168"/>
    </row>
    <row r="78" spans="1:20" ht="31.9" customHeight="1" thickBot="1" x14ac:dyDescent="0.3">
      <c r="A78" s="62" t="s">
        <v>24</v>
      </c>
      <c r="B78" s="5"/>
      <c r="C78" s="5"/>
      <c r="F78" s="5"/>
      <c r="G78" s="5"/>
      <c r="H78" s="63"/>
      <c r="I78" s="63"/>
      <c r="J78" s="63"/>
      <c r="K78" s="63"/>
      <c r="L78" s="63"/>
      <c r="M78" s="172">
        <f>M38</f>
        <v>0</v>
      </c>
      <c r="N78" s="172"/>
      <c r="O78" s="172"/>
      <c r="P78" s="173"/>
    </row>
    <row r="79" spans="1:20" ht="54" customHeight="1" thickTop="1" thickBot="1" x14ac:dyDescent="0.3">
      <c r="A79" s="5"/>
      <c r="B79" s="59"/>
      <c r="C79" s="59"/>
      <c r="D79" s="4"/>
      <c r="E79" s="4"/>
      <c r="F79" s="163" t="s">
        <v>19</v>
      </c>
      <c r="G79" s="163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59" t="s">
        <v>18</v>
      </c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>
      <c r="B81" s="38"/>
      <c r="C81" s="38"/>
      <c r="D81" s="39" t="s">
        <v>27</v>
      </c>
      <c r="E81" s="39"/>
      <c r="F81" s="39"/>
      <c r="G81" s="39"/>
    </row>
    <row r="82" spans="1:22" ht="36.75" customHeight="1" x14ac:dyDescent="0.25">
      <c r="A82" s="38"/>
      <c r="B82" s="38"/>
      <c r="C82" s="38"/>
      <c r="D82" s="39"/>
      <c r="E82" s="39"/>
      <c r="F82" s="39"/>
      <c r="G82" s="39"/>
      <c r="H82" s="39"/>
      <c r="I82" s="39"/>
      <c r="J82" s="39"/>
      <c r="K82" s="39"/>
      <c r="L82" s="39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38"/>
      <c r="B83" s="40"/>
      <c r="C83" s="40"/>
      <c r="D83" s="41" t="s">
        <v>21</v>
      </c>
      <c r="E83" s="41"/>
      <c r="F83" s="41"/>
      <c r="G83" s="41"/>
      <c r="H83" s="39"/>
      <c r="I83" s="39"/>
      <c r="J83" s="39"/>
      <c r="K83" s="39"/>
      <c r="L83" s="39"/>
      <c r="M83" s="66"/>
      <c r="N83" s="66"/>
      <c r="O83" s="66"/>
      <c r="P83" s="66"/>
      <c r="Q83" s="10"/>
    </row>
    <row r="84" spans="1:22" ht="17.45" customHeight="1" thickBot="1" x14ac:dyDescent="0.35">
      <c r="A84" s="40"/>
      <c r="B84" s="42"/>
      <c r="C84" s="1"/>
      <c r="D84" s="43" t="s">
        <v>91</v>
      </c>
      <c r="E84" s="43"/>
      <c r="F84" s="43"/>
      <c r="G84" s="43"/>
      <c r="H84" s="41"/>
      <c r="I84" s="41"/>
      <c r="J84" s="41"/>
      <c r="K84" s="41"/>
      <c r="L84" s="41"/>
      <c r="M84" s="11"/>
    </row>
    <row r="85" spans="1:22" ht="22.15" customHeight="1" thickBot="1" x14ac:dyDescent="0.35">
      <c r="A85" s="42"/>
      <c r="B85" s="51"/>
      <c r="C85" s="100" t="str">
        <f>C45</f>
        <v>O536</v>
      </c>
      <c r="D85" s="100"/>
      <c r="E85" s="100"/>
      <c r="F85" s="101"/>
      <c r="G85" s="2"/>
      <c r="H85" s="43"/>
      <c r="I85" s="43"/>
      <c r="J85" s="43"/>
      <c r="K85" s="43"/>
      <c r="L85" s="43"/>
      <c r="M85" s="2"/>
      <c r="N85" s="64"/>
      <c r="O85" s="64"/>
      <c r="P85" s="64"/>
    </row>
    <row r="86" spans="1:22" ht="15.6" customHeight="1" thickBot="1" x14ac:dyDescent="0.35">
      <c r="A86" s="50" t="s">
        <v>9</v>
      </c>
      <c r="B86" s="15"/>
      <c r="C86" s="15"/>
      <c r="D86" s="15"/>
      <c r="E86" s="15"/>
      <c r="F86" s="16"/>
      <c r="G86" s="2"/>
      <c r="H86" s="102" t="s">
        <v>4</v>
      </c>
      <c r="I86" s="103"/>
      <c r="J86" s="103"/>
      <c r="K86" s="8" t="s">
        <v>7</v>
      </c>
      <c r="L86" s="104" t="str">
        <f>L46</f>
        <v>JP 523772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45"/>
      <c r="C87" s="45"/>
      <c r="D87" s="45"/>
      <c r="E87" s="45"/>
      <c r="F87" s="46"/>
      <c r="G87" s="2"/>
      <c r="H87" s="79" t="s">
        <v>5</v>
      </c>
      <c r="I87" s="80"/>
      <c r="J87" s="80"/>
      <c r="K87" s="9" t="s">
        <v>7</v>
      </c>
      <c r="L87" s="106">
        <f>L47</f>
        <v>45684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44" t="str">
        <f>A48</f>
        <v>Summit Alliance Port Ltd. (SAPL).
Katghar, South Patenga, Chattogram.</v>
      </c>
      <c r="B88" s="45"/>
      <c r="C88" s="45"/>
      <c r="D88" s="45"/>
      <c r="E88" s="45"/>
      <c r="F88" s="46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thickBot="1" x14ac:dyDescent="0.35">
      <c r="A89" s="44"/>
      <c r="B89" s="48"/>
      <c r="C89" s="48"/>
      <c r="D89" s="48"/>
      <c r="E89" s="48"/>
      <c r="F89" s="49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47"/>
      <c r="B90" s="42"/>
      <c r="C90" s="1"/>
      <c r="D90" s="2"/>
      <c r="E90" s="2"/>
      <c r="F90" s="2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">
      <c r="A91" s="42"/>
      <c r="B91" s="53"/>
      <c r="C91" s="132" t="s">
        <v>0</v>
      </c>
      <c r="D91" s="132"/>
      <c r="E91" s="132"/>
      <c r="F91" s="132"/>
      <c r="G91" s="13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52" t="s">
        <v>12</v>
      </c>
      <c r="B92" s="33">
        <f>B52</f>
        <v>0</v>
      </c>
      <c r="C92" s="123" t="str">
        <f>C52</f>
        <v>Delivery of Readymade Garments</v>
      </c>
      <c r="D92" s="123"/>
      <c r="E92" s="123"/>
      <c r="F92" s="123"/>
      <c r="G92" s="123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thickBot="1" x14ac:dyDescent="0.3">
      <c r="A93" s="3" t="s">
        <v>13</v>
      </c>
      <c r="B93" s="55"/>
      <c r="C93" s="142" t="str">
        <f>C53</f>
        <v>H &amp; M</v>
      </c>
      <c r="D93" s="143"/>
      <c r="E93" s="144" t="s">
        <v>88</v>
      </c>
      <c r="F93" s="145"/>
      <c r="G93" s="141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54" t="s">
        <v>11</v>
      </c>
      <c r="B94" s="146" t="str">
        <f>B54</f>
        <v>316252-5832</v>
      </c>
      <c r="C94" s="146"/>
      <c r="D94" s="146"/>
      <c r="E94" s="146"/>
      <c r="F94" s="146"/>
      <c r="G94" s="146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36" t="e">
        <f>B55</f>
        <v>#REF!</v>
      </c>
      <c r="C95" s="136"/>
      <c r="D95" s="136"/>
      <c r="E95" s="136"/>
      <c r="F95" s="136"/>
      <c r="G95" s="136"/>
      <c r="H95" s="147">
        <f>H55</f>
        <v>6</v>
      </c>
      <c r="I95" s="148"/>
      <c r="J95" s="149"/>
      <c r="K95" s="150">
        <f>K55</f>
        <v>465</v>
      </c>
      <c r="L95" s="151"/>
      <c r="M95" s="133" t="str">
        <f>M55</f>
        <v>BE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>
        <f t="shared" ref="A96:B112" si="6">B56</f>
        <v>0</v>
      </c>
      <c r="C96" s="136"/>
      <c r="D96" s="136"/>
      <c r="E96" s="136"/>
      <c r="F96" s="136"/>
      <c r="G96" s="136"/>
      <c r="H96" s="137">
        <f>H56</f>
        <v>0</v>
      </c>
      <c r="I96" s="137"/>
      <c r="J96" s="137"/>
      <c r="K96" s="138">
        <f>K56</f>
        <v>0</v>
      </c>
      <c r="L96" s="138"/>
      <c r="M96" s="139">
        <f>M56</f>
        <v>0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si="6"/>
        <v>0</v>
      </c>
      <c r="B97" s="136">
        <f t="shared" si="6"/>
        <v>0</v>
      </c>
      <c r="C97" s="136"/>
      <c r="D97" s="136"/>
      <c r="E97" s="136"/>
      <c r="F97" s="136"/>
      <c r="G97" s="136"/>
      <c r="H97" s="137">
        <f>H57</f>
        <v>0</v>
      </c>
      <c r="I97" s="137"/>
      <c r="J97" s="137"/>
      <c r="K97" s="138">
        <f>K57</f>
        <v>0</v>
      </c>
      <c r="L97" s="138"/>
      <c r="M97" s="139">
        <f t="shared" ref="M97:M114" si="7">M57</f>
        <v>0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>
        <f t="shared" si="6"/>
        <v>0</v>
      </c>
      <c r="C98" s="136"/>
      <c r="D98" s="136"/>
      <c r="E98" s="136"/>
      <c r="F98" s="136"/>
      <c r="G98" s="136"/>
      <c r="H98" s="137">
        <f t="shared" ref="H98:H114" si="9">H58</f>
        <v>0</v>
      </c>
      <c r="I98" s="137"/>
      <c r="J98" s="137"/>
      <c r="K98" s="138">
        <f t="shared" ref="K98:K114" si="10">K58</f>
        <v>0</v>
      </c>
      <c r="L98" s="138"/>
      <c r="M98" s="139">
        <f t="shared" si="7"/>
        <v>0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0</v>
      </c>
      <c r="I99" s="137"/>
      <c r="J99" s="137"/>
      <c r="K99" s="138">
        <f t="shared" si="10"/>
        <v>0</v>
      </c>
      <c r="L99" s="138"/>
      <c r="M99" s="139">
        <f t="shared" si="7"/>
        <v>0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0</v>
      </c>
      <c r="I100" s="137"/>
      <c r="J100" s="137"/>
      <c r="K100" s="138">
        <f t="shared" si="10"/>
        <v>0</v>
      </c>
      <c r="L100" s="138"/>
      <c r="M100" s="139">
        <f t="shared" si="7"/>
        <v>0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0</v>
      </c>
      <c r="I101" s="137"/>
      <c r="J101" s="137"/>
      <c r="K101" s="138">
        <f t="shared" si="10"/>
        <v>0</v>
      </c>
      <c r="L101" s="138"/>
      <c r="M101" s="139">
        <f t="shared" si="7"/>
        <v>0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ref="A112:B114" si="11">B72</f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si="11"/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thickBot="1" x14ac:dyDescent="0.3">
      <c r="A114" s="32">
        <f t="shared" si="11"/>
        <v>0</v>
      </c>
      <c r="B114" s="58"/>
      <c r="C114" s="58"/>
      <c r="D114" s="58"/>
      <c r="E114" s="58"/>
      <c r="F114" s="58"/>
      <c r="G114" s="5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57" t="s">
        <v>17</v>
      </c>
      <c r="H115" s="155">
        <f>SUM(H95:J114)</f>
        <v>6</v>
      </c>
      <c r="I115" s="156"/>
      <c r="J115" s="157"/>
      <c r="K115" s="158">
        <f>SUM(K95:L114)</f>
        <v>465</v>
      </c>
      <c r="L115" s="159"/>
      <c r="M115" s="160"/>
      <c r="N115" s="161"/>
      <c r="O115" s="162"/>
      <c r="P115" s="19"/>
    </row>
    <row r="116" spans="1:22" ht="19.5" x14ac:dyDescent="0.25">
      <c r="B116" s="61"/>
      <c r="C116" s="61"/>
      <c r="D116" s="166">
        <f>D76</f>
        <v>0</v>
      </c>
      <c r="E116" s="166"/>
      <c r="F116" s="166"/>
      <c r="G116" s="61" t="s">
        <v>23</v>
      </c>
    </row>
    <row r="117" spans="1:22" ht="31.9" customHeight="1" x14ac:dyDescent="0.25">
      <c r="A117" s="60" t="s">
        <v>22</v>
      </c>
      <c r="B117" s="63"/>
      <c r="C117" s="63"/>
      <c r="D117" s="171">
        <f>D77</f>
        <v>0</v>
      </c>
      <c r="E117" s="171"/>
      <c r="F117" s="171"/>
      <c r="G117" s="63" t="s">
        <v>25</v>
      </c>
      <c r="H117" s="61"/>
      <c r="I117" s="61"/>
      <c r="J117" s="61"/>
      <c r="K117" s="61"/>
      <c r="L117" s="61"/>
      <c r="M117" s="167">
        <f>M77</f>
        <v>0</v>
      </c>
      <c r="N117" s="167"/>
      <c r="O117" s="167"/>
      <c r="P117" s="168"/>
    </row>
    <row r="118" spans="1:22" ht="31.9" customHeight="1" thickBot="1" x14ac:dyDescent="0.3">
      <c r="A118" s="62" t="s">
        <v>24</v>
      </c>
      <c r="B118" s="5"/>
      <c r="C118" s="5"/>
      <c r="F118" s="5"/>
      <c r="G118" s="5"/>
      <c r="H118" s="63"/>
      <c r="I118" s="63"/>
      <c r="J118" s="63"/>
      <c r="K118" s="63"/>
      <c r="L118" s="63"/>
      <c r="M118" s="172">
        <f>M78</f>
        <v>0</v>
      </c>
      <c r="N118" s="172"/>
      <c r="O118" s="172"/>
      <c r="P118" s="173"/>
    </row>
    <row r="119" spans="1:22" ht="54" customHeight="1" thickTop="1" thickBot="1" x14ac:dyDescent="0.3">
      <c r="A119" s="5"/>
      <c r="B119" s="59"/>
      <c r="C119" s="59"/>
      <c r="D119" s="4"/>
      <c r="E119" s="4"/>
      <c r="F119" s="163" t="s">
        <v>19</v>
      </c>
      <c r="G119" s="163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59" t="s">
        <v>18</v>
      </c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>
      <c r="B121" s="38"/>
      <c r="C121" s="38"/>
      <c r="D121" s="39" t="s">
        <v>27</v>
      </c>
      <c r="E121" s="39"/>
      <c r="F121" s="39"/>
      <c r="G121" s="39"/>
    </row>
    <row r="122" spans="1:22" ht="36.75" customHeight="1" x14ac:dyDescent="0.25">
      <c r="A122" s="38"/>
      <c r="B122" s="38"/>
      <c r="C122" s="38"/>
      <c r="D122" s="39"/>
      <c r="E122" s="39"/>
      <c r="F122" s="39"/>
      <c r="G122" s="39"/>
      <c r="H122" s="39"/>
      <c r="I122" s="39"/>
      <c r="J122" s="39"/>
      <c r="K122" s="39"/>
      <c r="L122" s="39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38"/>
      <c r="B123" s="40"/>
      <c r="C123" s="40"/>
      <c r="D123" s="41" t="s">
        <v>21</v>
      </c>
      <c r="E123" s="41"/>
      <c r="F123" s="41"/>
      <c r="G123" s="41"/>
      <c r="H123" s="39"/>
      <c r="I123" s="39"/>
      <c r="J123" s="39"/>
      <c r="K123" s="39"/>
      <c r="L123" s="39"/>
      <c r="M123" s="66"/>
      <c r="N123" s="66"/>
      <c r="O123" s="66"/>
      <c r="P123" s="66"/>
      <c r="Q123" s="10"/>
    </row>
    <row r="124" spans="1:22" ht="17.45" customHeight="1" thickBot="1" x14ac:dyDescent="0.35">
      <c r="A124" s="40"/>
      <c r="B124" s="42"/>
      <c r="C124" s="1"/>
      <c r="D124" s="43" t="s">
        <v>92</v>
      </c>
      <c r="E124" s="43"/>
      <c r="F124" s="43"/>
      <c r="G124" s="43"/>
      <c r="H124" s="41"/>
      <c r="I124" s="41"/>
      <c r="J124" s="41"/>
      <c r="K124" s="41"/>
      <c r="L124" s="41"/>
      <c r="M124" s="11"/>
    </row>
    <row r="125" spans="1:22" ht="22.15" customHeight="1" thickBot="1" x14ac:dyDescent="0.35">
      <c r="A125" s="42"/>
      <c r="B125" s="51"/>
      <c r="C125" s="100" t="str">
        <f>C85</f>
        <v>O536</v>
      </c>
      <c r="D125" s="100"/>
      <c r="E125" s="100"/>
      <c r="F125" s="101"/>
      <c r="G125" s="2"/>
      <c r="H125" s="43"/>
      <c r="I125" s="43"/>
      <c r="J125" s="43"/>
      <c r="K125" s="43"/>
      <c r="L125" s="43"/>
      <c r="M125" s="2"/>
      <c r="N125" s="64"/>
      <c r="O125" s="64"/>
      <c r="P125" s="64"/>
    </row>
    <row r="126" spans="1:22" ht="15.6" customHeight="1" thickBot="1" x14ac:dyDescent="0.35">
      <c r="A126" s="50" t="s">
        <v>9</v>
      </c>
      <c r="B126" s="15"/>
      <c r="C126" s="15"/>
      <c r="D126" s="15"/>
      <c r="E126" s="15"/>
      <c r="F126" s="16"/>
      <c r="G126" s="2"/>
      <c r="H126" s="102" t="s">
        <v>4</v>
      </c>
      <c r="I126" s="103"/>
      <c r="J126" s="103"/>
      <c r="K126" s="8" t="s">
        <v>7</v>
      </c>
      <c r="L126" s="104" t="str">
        <f>L86</f>
        <v>JP 523772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45"/>
      <c r="C127" s="45"/>
      <c r="D127" s="45"/>
      <c r="E127" s="45"/>
      <c r="F127" s="46"/>
      <c r="G127" s="2"/>
      <c r="H127" s="79" t="s">
        <v>5</v>
      </c>
      <c r="I127" s="80"/>
      <c r="J127" s="80"/>
      <c r="K127" s="9" t="s">
        <v>7</v>
      </c>
      <c r="L127" s="106">
        <f>L87</f>
        <v>45684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44" t="str">
        <f>A88</f>
        <v>Summit Alliance Port Ltd. (SAPL).
Katghar, South Patenga, Chattogram.</v>
      </c>
      <c r="B128" s="45"/>
      <c r="C128" s="45"/>
      <c r="D128" s="45"/>
      <c r="E128" s="45"/>
      <c r="F128" s="46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8" thickBot="1" x14ac:dyDescent="0.35">
      <c r="A129" s="44"/>
      <c r="B129" s="48"/>
      <c r="C129" s="48"/>
      <c r="D129" s="48"/>
      <c r="E129" s="48"/>
      <c r="F129" s="49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47"/>
      <c r="B130" s="42"/>
      <c r="C130" s="1"/>
      <c r="D130" s="2"/>
      <c r="E130" s="2"/>
      <c r="F130" s="2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">
      <c r="A131" s="42"/>
      <c r="B131" s="53"/>
      <c r="C131" s="132" t="s">
        <v>0</v>
      </c>
      <c r="D131" s="132"/>
      <c r="E131" s="132"/>
      <c r="F131" s="132"/>
      <c r="G131" s="13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52" t="s">
        <v>12</v>
      </c>
      <c r="B132" s="33">
        <f>B92</f>
        <v>0</v>
      </c>
      <c r="C132" s="123" t="str">
        <f>C92</f>
        <v>Delivery of Readymade Garments</v>
      </c>
      <c r="D132" s="123"/>
      <c r="E132" s="123"/>
      <c r="F132" s="123"/>
      <c r="G132" s="123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thickBot="1" x14ac:dyDescent="0.3">
      <c r="A133" s="3" t="s">
        <v>13</v>
      </c>
      <c r="B133" s="55"/>
      <c r="C133" s="142" t="str">
        <f>C93</f>
        <v>H &amp; M</v>
      </c>
      <c r="D133" s="143"/>
      <c r="E133" s="144" t="s">
        <v>88</v>
      </c>
      <c r="F133" s="145"/>
      <c r="G133" s="141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54" t="s">
        <v>11</v>
      </c>
      <c r="B134" s="146" t="str">
        <f>B94</f>
        <v>316252-5832</v>
      </c>
      <c r="C134" s="146"/>
      <c r="D134" s="146"/>
      <c r="E134" s="146"/>
      <c r="F134" s="146"/>
      <c r="G134" s="146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36" t="e">
        <f>B95</f>
        <v>#REF!</v>
      </c>
      <c r="C135" s="136"/>
      <c r="D135" s="136"/>
      <c r="E135" s="136"/>
      <c r="F135" s="136"/>
      <c r="G135" s="136"/>
      <c r="H135" s="187">
        <f>H95</f>
        <v>6</v>
      </c>
      <c r="I135" s="188"/>
      <c r="J135" s="189"/>
      <c r="K135" s="190">
        <f>K95</f>
        <v>465</v>
      </c>
      <c r="L135" s="191"/>
      <c r="M135" s="133" t="str">
        <f>M95</f>
        <v>BE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>
        <f t="shared" ref="A136:B152" si="12">B96</f>
        <v>0</v>
      </c>
      <c r="C136" s="136"/>
      <c r="D136" s="136"/>
      <c r="E136" s="136"/>
      <c r="F136" s="136"/>
      <c r="G136" s="136"/>
      <c r="H136" s="179">
        <f>H96</f>
        <v>0</v>
      </c>
      <c r="I136" s="180"/>
      <c r="J136" s="181"/>
      <c r="K136" s="182">
        <f>K96</f>
        <v>0</v>
      </c>
      <c r="L136" s="183"/>
      <c r="M136" s="184">
        <f>M96</f>
        <v>0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si="12"/>
        <v>0</v>
      </c>
      <c r="B137" s="136">
        <f t="shared" si="12"/>
        <v>0</v>
      </c>
      <c r="C137" s="136"/>
      <c r="D137" s="136"/>
      <c r="E137" s="136"/>
      <c r="F137" s="136"/>
      <c r="G137" s="136"/>
      <c r="H137" s="179">
        <f>H97</f>
        <v>0</v>
      </c>
      <c r="I137" s="180"/>
      <c r="J137" s="181"/>
      <c r="K137" s="182">
        <f>K97</f>
        <v>0</v>
      </c>
      <c r="L137" s="183"/>
      <c r="M137" s="184">
        <f t="shared" ref="M137:M154" si="13">M97</f>
        <v>0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>
        <f t="shared" si="12"/>
        <v>0</v>
      </c>
      <c r="C138" s="136"/>
      <c r="D138" s="136"/>
      <c r="E138" s="136"/>
      <c r="F138" s="136"/>
      <c r="G138" s="136"/>
      <c r="H138" s="179">
        <f t="shared" ref="H138:H154" si="15">H98</f>
        <v>0</v>
      </c>
      <c r="I138" s="180"/>
      <c r="J138" s="181"/>
      <c r="K138" s="182">
        <f t="shared" ref="K138:K154" si="16">K98</f>
        <v>0</v>
      </c>
      <c r="L138" s="183"/>
      <c r="M138" s="184">
        <f t="shared" si="13"/>
        <v>0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0</v>
      </c>
      <c r="I139" s="180"/>
      <c r="J139" s="181"/>
      <c r="K139" s="182">
        <f t="shared" si="16"/>
        <v>0</v>
      </c>
      <c r="L139" s="183"/>
      <c r="M139" s="184">
        <f t="shared" si="13"/>
        <v>0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0</v>
      </c>
      <c r="I140" s="180"/>
      <c r="J140" s="181"/>
      <c r="K140" s="182">
        <f t="shared" si="16"/>
        <v>0</v>
      </c>
      <c r="L140" s="183"/>
      <c r="M140" s="184">
        <f t="shared" si="13"/>
        <v>0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0</v>
      </c>
      <c r="I141" s="180"/>
      <c r="J141" s="181"/>
      <c r="K141" s="182">
        <f t="shared" si="16"/>
        <v>0</v>
      </c>
      <c r="L141" s="183"/>
      <c r="M141" s="184">
        <f t="shared" si="13"/>
        <v>0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ref="A152:B154" si="17">B112</f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si="17"/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thickBot="1" x14ac:dyDescent="0.3">
      <c r="A154" s="32">
        <f t="shared" si="17"/>
        <v>0</v>
      </c>
      <c r="B154" s="58"/>
      <c r="C154" s="58"/>
      <c r="D154" s="58"/>
      <c r="E154" s="58"/>
      <c r="F154" s="58"/>
      <c r="G154" s="5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57" t="s">
        <v>17</v>
      </c>
      <c r="H155" s="155">
        <f>SUM(H135:J154)</f>
        <v>6</v>
      </c>
      <c r="I155" s="195"/>
      <c r="J155" s="196"/>
      <c r="K155" s="158">
        <f>SUM(K135:L154)</f>
        <v>465</v>
      </c>
      <c r="L155" s="159"/>
      <c r="M155" s="160"/>
      <c r="N155" s="161"/>
      <c r="O155" s="162"/>
      <c r="P155" s="19"/>
    </row>
    <row r="156" spans="1:20" ht="19.5" x14ac:dyDescent="0.25">
      <c r="B156" s="61"/>
      <c r="C156" s="61"/>
      <c r="D156" s="166">
        <f>D116</f>
        <v>0</v>
      </c>
      <c r="E156" s="166"/>
      <c r="F156" s="166"/>
      <c r="G156" s="61" t="s">
        <v>23</v>
      </c>
    </row>
    <row r="157" spans="1:20" ht="31.9" customHeight="1" x14ac:dyDescent="0.25">
      <c r="A157" s="60" t="s">
        <v>22</v>
      </c>
      <c r="B157" s="63"/>
      <c r="C157" s="63"/>
      <c r="D157" s="171">
        <f>D117</f>
        <v>0</v>
      </c>
      <c r="E157" s="171"/>
      <c r="F157" s="171"/>
      <c r="G157" s="63" t="s">
        <v>25</v>
      </c>
      <c r="H157" s="61"/>
      <c r="I157" s="61"/>
      <c r="J157" s="61"/>
      <c r="K157" s="61"/>
      <c r="L157" s="61"/>
      <c r="M157" s="167">
        <f>M117</f>
        <v>0</v>
      </c>
      <c r="N157" s="167"/>
      <c r="O157" s="167"/>
      <c r="P157" s="168"/>
    </row>
    <row r="158" spans="1:20" ht="31.9" customHeight="1" thickBot="1" x14ac:dyDescent="0.3">
      <c r="A158" s="62" t="s">
        <v>24</v>
      </c>
      <c r="B158" s="5"/>
      <c r="C158" s="5"/>
      <c r="F158" s="5"/>
      <c r="G158" s="5"/>
      <c r="H158" s="63"/>
      <c r="I158" s="63"/>
      <c r="J158" s="63"/>
      <c r="K158" s="63"/>
      <c r="L158" s="63"/>
      <c r="M158" s="172">
        <f>M118</f>
        <v>0</v>
      </c>
      <c r="N158" s="172"/>
      <c r="O158" s="172"/>
      <c r="P158" s="173"/>
    </row>
    <row r="159" spans="1:20" ht="54" customHeight="1" thickTop="1" thickBot="1" x14ac:dyDescent="0.3">
      <c r="A159" s="5"/>
      <c r="B159" s="59"/>
      <c r="C159" s="59"/>
      <c r="D159" s="4"/>
      <c r="E159" s="4"/>
      <c r="F159" s="163" t="s">
        <v>19</v>
      </c>
      <c r="G159" s="163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59" t="s">
        <v>18</v>
      </c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542">
    <mergeCell ref="A2:C3"/>
    <mergeCell ref="D2:L3"/>
    <mergeCell ref="M2:P3"/>
    <mergeCell ref="A4:C4"/>
    <mergeCell ref="D4:L4"/>
    <mergeCell ref="A5:B5"/>
    <mergeCell ref="D5:L5"/>
    <mergeCell ref="N5:P5"/>
    <mergeCell ref="V13:V15"/>
    <mergeCell ref="A14:B14"/>
    <mergeCell ref="C14:D14"/>
    <mergeCell ref="E14:G14"/>
    <mergeCell ref="B15:G15"/>
    <mergeCell ref="H15:J15"/>
    <mergeCell ref="K15:L15"/>
    <mergeCell ref="A6:B6"/>
    <mergeCell ref="C6:F6"/>
    <mergeCell ref="H6:J6"/>
    <mergeCell ref="L6:P6"/>
    <mergeCell ref="H7:J7"/>
    <mergeCell ref="L7:P7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H22:J22"/>
    <mergeCell ref="K22:L22"/>
    <mergeCell ref="M22:O22"/>
    <mergeCell ref="C12:G12"/>
    <mergeCell ref="H12:L12"/>
    <mergeCell ref="M12:O14"/>
    <mergeCell ref="P12:P14"/>
    <mergeCell ref="C13:G13"/>
    <mergeCell ref="H13:J14"/>
    <mergeCell ref="K13:L14"/>
    <mergeCell ref="H21:J21"/>
    <mergeCell ref="K21:L21"/>
    <mergeCell ref="M21:O21"/>
    <mergeCell ref="B18:G18"/>
    <mergeCell ref="H19:J19"/>
    <mergeCell ref="K19:L19"/>
    <mergeCell ref="M19:O19"/>
    <mergeCell ref="M15:O15"/>
    <mergeCell ref="H18:J18"/>
    <mergeCell ref="K18:L18"/>
    <mergeCell ref="M18:O18"/>
    <mergeCell ref="H16:J16"/>
    <mergeCell ref="K16:L16"/>
    <mergeCell ref="M16:O16"/>
    <mergeCell ref="B21:G21"/>
    <mergeCell ref="B23:G23"/>
    <mergeCell ref="H24:J24"/>
    <mergeCell ref="K24:L24"/>
    <mergeCell ref="M24:O24"/>
    <mergeCell ref="B24:G24"/>
    <mergeCell ref="H25:J25"/>
    <mergeCell ref="K25:L25"/>
    <mergeCell ref="M25:O25"/>
    <mergeCell ref="V16:V18"/>
    <mergeCell ref="B16:G16"/>
    <mergeCell ref="H17:J17"/>
    <mergeCell ref="K17:L17"/>
    <mergeCell ref="M17:O17"/>
    <mergeCell ref="B17:G17"/>
    <mergeCell ref="B22:G22"/>
    <mergeCell ref="H23:J23"/>
    <mergeCell ref="K23:L23"/>
    <mergeCell ref="M23:O23"/>
    <mergeCell ref="V19:V21"/>
    <mergeCell ref="B19:G19"/>
    <mergeCell ref="H20:J20"/>
    <mergeCell ref="K20:L20"/>
    <mergeCell ref="M20:O20"/>
    <mergeCell ref="B20:G20"/>
    <mergeCell ref="B27:G27"/>
    <mergeCell ref="H28:J28"/>
    <mergeCell ref="K28:L28"/>
    <mergeCell ref="M28:O28"/>
    <mergeCell ref="B28:G28"/>
    <mergeCell ref="H29:J29"/>
    <mergeCell ref="K29:L29"/>
    <mergeCell ref="M29:O29"/>
    <mergeCell ref="B25:G25"/>
    <mergeCell ref="H26:J26"/>
    <mergeCell ref="K26:L26"/>
    <mergeCell ref="M26:O26"/>
    <mergeCell ref="B26:G26"/>
    <mergeCell ref="H27:J27"/>
    <mergeCell ref="K27:L27"/>
    <mergeCell ref="M27:O27"/>
    <mergeCell ref="B31:G31"/>
    <mergeCell ref="H32:J32"/>
    <mergeCell ref="K32:L32"/>
    <mergeCell ref="M32:O32"/>
    <mergeCell ref="B32:G32"/>
    <mergeCell ref="H33:J33"/>
    <mergeCell ref="K33:L33"/>
    <mergeCell ref="M33:O33"/>
    <mergeCell ref="B29:G29"/>
    <mergeCell ref="H30:J30"/>
    <mergeCell ref="K30:L30"/>
    <mergeCell ref="M30:O30"/>
    <mergeCell ref="B30:G30"/>
    <mergeCell ref="H31:J31"/>
    <mergeCell ref="K31:L31"/>
    <mergeCell ref="M31:O31"/>
    <mergeCell ref="F39:G39"/>
    <mergeCell ref="L40:P40"/>
    <mergeCell ref="M42:P43"/>
    <mergeCell ref="D36:F36"/>
    <mergeCell ref="M37:P37"/>
    <mergeCell ref="D37:F37"/>
    <mergeCell ref="M38:P38"/>
    <mergeCell ref="B33:G33"/>
    <mergeCell ref="H34:J34"/>
    <mergeCell ref="K34:L34"/>
    <mergeCell ref="M34:O34"/>
    <mergeCell ref="H35:J35"/>
    <mergeCell ref="K35:L35"/>
    <mergeCell ref="M35:O35"/>
    <mergeCell ref="H47:J47"/>
    <mergeCell ref="L47:P47"/>
    <mergeCell ref="R47:R49"/>
    <mergeCell ref="S47:S49"/>
    <mergeCell ref="T47:T49"/>
    <mergeCell ref="V47:V49"/>
    <mergeCell ref="N45:P45"/>
    <mergeCell ref="C45:F45"/>
    <mergeCell ref="H46:J46"/>
    <mergeCell ref="L46:P46"/>
    <mergeCell ref="V50:V52"/>
    <mergeCell ref="C51:G51"/>
    <mergeCell ref="H52:L52"/>
    <mergeCell ref="M52:O54"/>
    <mergeCell ref="P52:P54"/>
    <mergeCell ref="H48:J48"/>
    <mergeCell ref="L48:P48"/>
    <mergeCell ref="H49:J51"/>
    <mergeCell ref="K49:K51"/>
    <mergeCell ref="L49:P51"/>
    <mergeCell ref="V53:V55"/>
    <mergeCell ref="C53:D53"/>
    <mergeCell ref="E53:G53"/>
    <mergeCell ref="B54:G54"/>
    <mergeCell ref="H55:J55"/>
    <mergeCell ref="K55:L55"/>
    <mergeCell ref="M55:O55"/>
    <mergeCell ref="T53:T55"/>
    <mergeCell ref="B55:G55"/>
    <mergeCell ref="V56:V58"/>
    <mergeCell ref="B56:G56"/>
    <mergeCell ref="H57:J57"/>
    <mergeCell ref="K57:L57"/>
    <mergeCell ref="M57:O57"/>
    <mergeCell ref="B57:G57"/>
    <mergeCell ref="H58:J58"/>
    <mergeCell ref="K58:L58"/>
    <mergeCell ref="M58:O58"/>
    <mergeCell ref="H56:J56"/>
    <mergeCell ref="K56:L56"/>
    <mergeCell ref="M56:O56"/>
    <mergeCell ref="R56:R58"/>
    <mergeCell ref="S56:S58"/>
    <mergeCell ref="B58:G58"/>
    <mergeCell ref="C52:G52"/>
    <mergeCell ref="H53:J54"/>
    <mergeCell ref="K53:L54"/>
    <mergeCell ref="R53:R55"/>
    <mergeCell ref="S53:S55"/>
    <mergeCell ref="R50:R52"/>
    <mergeCell ref="S50:S52"/>
    <mergeCell ref="B61:G61"/>
    <mergeCell ref="T56:T58"/>
    <mergeCell ref="T50:T52"/>
    <mergeCell ref="T59:T61"/>
    <mergeCell ref="V59:V61"/>
    <mergeCell ref="B59:G59"/>
    <mergeCell ref="H60:J60"/>
    <mergeCell ref="K60:L60"/>
    <mergeCell ref="M60:O60"/>
    <mergeCell ref="B60:G60"/>
    <mergeCell ref="H61:J61"/>
    <mergeCell ref="K61:L61"/>
    <mergeCell ref="M61:O61"/>
    <mergeCell ref="H59:J59"/>
    <mergeCell ref="K59:L59"/>
    <mergeCell ref="M59:O59"/>
    <mergeCell ref="R59:R61"/>
    <mergeCell ref="S59:S61"/>
    <mergeCell ref="T62:T64"/>
    <mergeCell ref="B62:G62"/>
    <mergeCell ref="H63:J63"/>
    <mergeCell ref="K63:L63"/>
    <mergeCell ref="M63:O63"/>
    <mergeCell ref="B63:G63"/>
    <mergeCell ref="H64:J64"/>
    <mergeCell ref="K64:L64"/>
    <mergeCell ref="M64:O64"/>
    <mergeCell ref="H62:J62"/>
    <mergeCell ref="K62:L62"/>
    <mergeCell ref="M62:O62"/>
    <mergeCell ref="R62:R64"/>
    <mergeCell ref="S62:S64"/>
    <mergeCell ref="B64:G64"/>
    <mergeCell ref="T65:T67"/>
    <mergeCell ref="B65:G65"/>
    <mergeCell ref="H66:J66"/>
    <mergeCell ref="K66:L66"/>
    <mergeCell ref="M66:O66"/>
    <mergeCell ref="B66:G66"/>
    <mergeCell ref="H67:J67"/>
    <mergeCell ref="K67:L67"/>
    <mergeCell ref="M67:O67"/>
    <mergeCell ref="H65:J65"/>
    <mergeCell ref="K65:L65"/>
    <mergeCell ref="M65:O65"/>
    <mergeCell ref="R65:R67"/>
    <mergeCell ref="S65:S67"/>
    <mergeCell ref="B67:G67"/>
    <mergeCell ref="H71:J71"/>
    <mergeCell ref="K71:L71"/>
    <mergeCell ref="M71:O71"/>
    <mergeCell ref="B71:G71"/>
    <mergeCell ref="H72:J72"/>
    <mergeCell ref="K72:L72"/>
    <mergeCell ref="M72:O72"/>
    <mergeCell ref="T68:T70"/>
    <mergeCell ref="B68:G68"/>
    <mergeCell ref="H69:J69"/>
    <mergeCell ref="K69:L69"/>
    <mergeCell ref="M69:O69"/>
    <mergeCell ref="B69:G69"/>
    <mergeCell ref="H70:J70"/>
    <mergeCell ref="K70:L70"/>
    <mergeCell ref="M70:O70"/>
    <mergeCell ref="H68:J68"/>
    <mergeCell ref="K68:L68"/>
    <mergeCell ref="M68:O68"/>
    <mergeCell ref="R68:R70"/>
    <mergeCell ref="S68:S70"/>
    <mergeCell ref="B70:G70"/>
    <mergeCell ref="H75:J75"/>
    <mergeCell ref="K75:L75"/>
    <mergeCell ref="M75:O75"/>
    <mergeCell ref="D76:F76"/>
    <mergeCell ref="M77:P77"/>
    <mergeCell ref="B72:G72"/>
    <mergeCell ref="H73:J73"/>
    <mergeCell ref="K73:L73"/>
    <mergeCell ref="M73:O73"/>
    <mergeCell ref="B73:G73"/>
    <mergeCell ref="H74:J74"/>
    <mergeCell ref="K74:L74"/>
    <mergeCell ref="M74:O74"/>
    <mergeCell ref="C85:F85"/>
    <mergeCell ref="H86:J86"/>
    <mergeCell ref="L86:P86"/>
    <mergeCell ref="H87:J87"/>
    <mergeCell ref="L87:P87"/>
    <mergeCell ref="M82:P83"/>
    <mergeCell ref="N85:P85"/>
    <mergeCell ref="D77:F77"/>
    <mergeCell ref="M78:P78"/>
    <mergeCell ref="F79:G79"/>
    <mergeCell ref="L80:P80"/>
    <mergeCell ref="T87:T89"/>
    <mergeCell ref="V87:V89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H92:L92"/>
    <mergeCell ref="M92:O94"/>
    <mergeCell ref="P92:P94"/>
    <mergeCell ref="V93:V95"/>
    <mergeCell ref="H95:J95"/>
    <mergeCell ref="K95:L95"/>
    <mergeCell ref="M95:O95"/>
    <mergeCell ref="C92:G92"/>
    <mergeCell ref="H93:J94"/>
    <mergeCell ref="K93:L94"/>
    <mergeCell ref="R93:R95"/>
    <mergeCell ref="S93:S95"/>
    <mergeCell ref="R87:R89"/>
    <mergeCell ref="S87:S89"/>
    <mergeCell ref="C91:G91"/>
    <mergeCell ref="C93:D93"/>
    <mergeCell ref="E93:G93"/>
    <mergeCell ref="B98:G98"/>
    <mergeCell ref="H99:J99"/>
    <mergeCell ref="K99:L99"/>
    <mergeCell ref="M99:O99"/>
    <mergeCell ref="R99:R101"/>
    <mergeCell ref="S99:S101"/>
    <mergeCell ref="T93:T95"/>
    <mergeCell ref="T96:T98"/>
    <mergeCell ref="V96:V98"/>
    <mergeCell ref="B96:G96"/>
    <mergeCell ref="H97:J97"/>
    <mergeCell ref="K97:L97"/>
    <mergeCell ref="M97:O97"/>
    <mergeCell ref="B97:G97"/>
    <mergeCell ref="H98:J98"/>
    <mergeCell ref="K98:L98"/>
    <mergeCell ref="M98:O98"/>
    <mergeCell ref="B95:G95"/>
    <mergeCell ref="H96:J96"/>
    <mergeCell ref="K96:L96"/>
    <mergeCell ref="M96:O96"/>
    <mergeCell ref="R96:R98"/>
    <mergeCell ref="S96:S98"/>
    <mergeCell ref="B94:G94"/>
    <mergeCell ref="B101:G101"/>
    <mergeCell ref="H102:J102"/>
    <mergeCell ref="K102:L102"/>
    <mergeCell ref="M102:O102"/>
    <mergeCell ref="R102:R104"/>
    <mergeCell ref="S102:S104"/>
    <mergeCell ref="T99:T101"/>
    <mergeCell ref="V99:V101"/>
    <mergeCell ref="B99:G99"/>
    <mergeCell ref="H100:J100"/>
    <mergeCell ref="K100:L100"/>
    <mergeCell ref="M100:O100"/>
    <mergeCell ref="B100:G100"/>
    <mergeCell ref="H101:J101"/>
    <mergeCell ref="K101:L101"/>
    <mergeCell ref="M101:O101"/>
    <mergeCell ref="B104:G104"/>
    <mergeCell ref="T102:T104"/>
    <mergeCell ref="B102:G102"/>
    <mergeCell ref="H103:J103"/>
    <mergeCell ref="K103:L103"/>
    <mergeCell ref="M103:O103"/>
    <mergeCell ref="B103:G103"/>
    <mergeCell ref="H104:J104"/>
    <mergeCell ref="K104:L104"/>
    <mergeCell ref="M104:O104"/>
    <mergeCell ref="T105:T107"/>
    <mergeCell ref="B105:G105"/>
    <mergeCell ref="H106:J106"/>
    <mergeCell ref="K106:L106"/>
    <mergeCell ref="M106:O106"/>
    <mergeCell ref="B106:G106"/>
    <mergeCell ref="H107:J107"/>
    <mergeCell ref="K107:L107"/>
    <mergeCell ref="M107:O107"/>
    <mergeCell ref="H105:J105"/>
    <mergeCell ref="K105:L105"/>
    <mergeCell ref="M105:O105"/>
    <mergeCell ref="R105:R107"/>
    <mergeCell ref="S105:S107"/>
    <mergeCell ref="B107:G107"/>
    <mergeCell ref="H111:J111"/>
    <mergeCell ref="K111:L111"/>
    <mergeCell ref="M111:O111"/>
    <mergeCell ref="B111:G111"/>
    <mergeCell ref="H112:J112"/>
    <mergeCell ref="K112:L112"/>
    <mergeCell ref="M112:O112"/>
    <mergeCell ref="T108:T110"/>
    <mergeCell ref="B108:G108"/>
    <mergeCell ref="H109:J109"/>
    <mergeCell ref="K109:L109"/>
    <mergeCell ref="M109:O109"/>
    <mergeCell ref="B109:G109"/>
    <mergeCell ref="H110:J110"/>
    <mergeCell ref="K110:L110"/>
    <mergeCell ref="M110:O110"/>
    <mergeCell ref="H108:J108"/>
    <mergeCell ref="K108:L108"/>
    <mergeCell ref="M108:O108"/>
    <mergeCell ref="R108:R110"/>
    <mergeCell ref="S108:S110"/>
    <mergeCell ref="B110:G110"/>
    <mergeCell ref="H115:J115"/>
    <mergeCell ref="K115:L115"/>
    <mergeCell ref="M115:O115"/>
    <mergeCell ref="D116:F116"/>
    <mergeCell ref="M117:P117"/>
    <mergeCell ref="B112:G112"/>
    <mergeCell ref="H113:J113"/>
    <mergeCell ref="K113:L113"/>
    <mergeCell ref="M113:O113"/>
    <mergeCell ref="B113:G113"/>
    <mergeCell ref="H114:J114"/>
    <mergeCell ref="K114:L114"/>
    <mergeCell ref="M114:O114"/>
    <mergeCell ref="C125:F125"/>
    <mergeCell ref="H126:J126"/>
    <mergeCell ref="L126:P126"/>
    <mergeCell ref="H127:J127"/>
    <mergeCell ref="L127:P127"/>
    <mergeCell ref="M122:P123"/>
    <mergeCell ref="N125:P125"/>
    <mergeCell ref="D117:F117"/>
    <mergeCell ref="M118:P118"/>
    <mergeCell ref="F119:G119"/>
    <mergeCell ref="L120:P120"/>
    <mergeCell ref="T127:T129"/>
    <mergeCell ref="V127:V129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H132:L132"/>
    <mergeCell ref="M132:O134"/>
    <mergeCell ref="P132:P134"/>
    <mergeCell ref="V133:V135"/>
    <mergeCell ref="H135:J135"/>
    <mergeCell ref="K135:L135"/>
    <mergeCell ref="M135:O135"/>
    <mergeCell ref="C132:G132"/>
    <mergeCell ref="H133:J134"/>
    <mergeCell ref="K133:L134"/>
    <mergeCell ref="R133:R135"/>
    <mergeCell ref="S133:S135"/>
    <mergeCell ref="R127:R129"/>
    <mergeCell ref="S127:S129"/>
    <mergeCell ref="C131:G131"/>
    <mergeCell ref="C133:D133"/>
    <mergeCell ref="E133:G133"/>
    <mergeCell ref="B138:G138"/>
    <mergeCell ref="H139:J139"/>
    <mergeCell ref="K139:L139"/>
    <mergeCell ref="M139:O139"/>
    <mergeCell ref="R139:R141"/>
    <mergeCell ref="S139:S141"/>
    <mergeCell ref="T133:T135"/>
    <mergeCell ref="T136:T138"/>
    <mergeCell ref="V136:V138"/>
    <mergeCell ref="B136:G136"/>
    <mergeCell ref="H137:J137"/>
    <mergeCell ref="K137:L137"/>
    <mergeCell ref="M137:O137"/>
    <mergeCell ref="B137:G137"/>
    <mergeCell ref="H138:J138"/>
    <mergeCell ref="K138:L138"/>
    <mergeCell ref="M138:O138"/>
    <mergeCell ref="B135:G135"/>
    <mergeCell ref="H136:J136"/>
    <mergeCell ref="K136:L136"/>
    <mergeCell ref="M136:O136"/>
    <mergeCell ref="R136:R138"/>
    <mergeCell ref="S136:S138"/>
    <mergeCell ref="B134:G134"/>
    <mergeCell ref="B141:G141"/>
    <mergeCell ref="H142:J142"/>
    <mergeCell ref="K142:L142"/>
    <mergeCell ref="M142:O142"/>
    <mergeCell ref="R142:R144"/>
    <mergeCell ref="S142:S144"/>
    <mergeCell ref="T139:T141"/>
    <mergeCell ref="V139:V141"/>
    <mergeCell ref="B139:G139"/>
    <mergeCell ref="H140:J140"/>
    <mergeCell ref="K140:L140"/>
    <mergeCell ref="M140:O140"/>
    <mergeCell ref="B140:G140"/>
    <mergeCell ref="H141:J141"/>
    <mergeCell ref="K141:L141"/>
    <mergeCell ref="M141:O141"/>
    <mergeCell ref="B144:G144"/>
    <mergeCell ref="K145:L145"/>
    <mergeCell ref="M145:O145"/>
    <mergeCell ref="R145:R147"/>
    <mergeCell ref="S145:S147"/>
    <mergeCell ref="T142:T144"/>
    <mergeCell ref="B142:G142"/>
    <mergeCell ref="H143:J143"/>
    <mergeCell ref="K143:L143"/>
    <mergeCell ref="M143:O143"/>
    <mergeCell ref="B143:G143"/>
    <mergeCell ref="H144:J144"/>
    <mergeCell ref="K144:L144"/>
    <mergeCell ref="M144:O144"/>
    <mergeCell ref="B147:G147"/>
    <mergeCell ref="H148:J148"/>
    <mergeCell ref="K148:L148"/>
    <mergeCell ref="M148:O148"/>
    <mergeCell ref="R148:R150"/>
    <mergeCell ref="S148:S150"/>
    <mergeCell ref="T145:T147"/>
    <mergeCell ref="B145:G145"/>
    <mergeCell ref="H146:J146"/>
    <mergeCell ref="K146:L146"/>
    <mergeCell ref="M146:O146"/>
    <mergeCell ref="B146:G146"/>
    <mergeCell ref="H147:J147"/>
    <mergeCell ref="K147:L147"/>
    <mergeCell ref="M147:O147"/>
    <mergeCell ref="T148:T150"/>
    <mergeCell ref="B148:G148"/>
    <mergeCell ref="H149:J149"/>
    <mergeCell ref="K149:L149"/>
    <mergeCell ref="M149:O149"/>
    <mergeCell ref="B149:G149"/>
    <mergeCell ref="H150:J150"/>
    <mergeCell ref="K150:L150"/>
    <mergeCell ref="M150:O150"/>
    <mergeCell ref="H145:J145"/>
    <mergeCell ref="B152:G152"/>
    <mergeCell ref="H153:J153"/>
    <mergeCell ref="K153:L153"/>
    <mergeCell ref="M153:O153"/>
    <mergeCell ref="B153:G153"/>
    <mergeCell ref="H154:J154"/>
    <mergeCell ref="K154:L154"/>
    <mergeCell ref="M154:O154"/>
    <mergeCell ref="B150:G150"/>
    <mergeCell ref="H151:J151"/>
    <mergeCell ref="K151:L151"/>
    <mergeCell ref="M151:O151"/>
    <mergeCell ref="B151:G151"/>
    <mergeCell ref="H152:J152"/>
    <mergeCell ref="K152:L152"/>
    <mergeCell ref="M152:O152"/>
    <mergeCell ref="D157:F157"/>
    <mergeCell ref="M158:P158"/>
    <mergeCell ref="F159:G159"/>
    <mergeCell ref="L160:P160"/>
    <mergeCell ref="H155:J155"/>
    <mergeCell ref="K155:L155"/>
    <mergeCell ref="M155:O155"/>
    <mergeCell ref="D156:F156"/>
    <mergeCell ref="M157:P157"/>
  </mergeCells>
  <dataValidations count="4">
    <dataValidation type="list" allowBlank="1" showInputMessage="1" showErrorMessage="1" sqref="L8:P8 L48:P48 L88:P88 L128:P128" xr:uid="{A4BF37B9-E427-491A-B4C9-04B7BA73224A}">
      <formula1>Mode</formula1>
    </dataValidation>
    <dataValidation type="list" allowBlank="1" showInputMessage="1" showErrorMessage="1" sqref="A8 A48 A88 A128" xr:uid="{76B14985-2052-4850-99E5-42E6E6D4AAA7}">
      <formula1>$T$7:$T$35</formula1>
    </dataValidation>
    <dataValidation type="list" allowBlank="1" showInputMessage="1" showErrorMessage="1" sqref="L9:P11 L49:P51 L89:P91 L129:P131" xr:uid="{81A3512F-39C2-4B3B-B276-13A131FFDFE4}">
      <formula1>Carrier</formula1>
    </dataValidation>
    <dataValidation type="list" allowBlank="1" showInputMessage="1" showErrorMessage="1" sqref="C14:D14 C93:D93 C53:D53 C133:D133" xr:uid="{46648981-AD76-48C6-8060-967AB8363568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21D5-4689-4309-A91A-AC5FC60E1A8A}">
  <sheetPr>
    <tabColor rgb="FF00B050"/>
  </sheetPr>
  <dimension ref="A1:Y168"/>
  <sheetViews>
    <sheetView view="pageBreakPreview" zoomScaleNormal="100" zoomScaleSheetLayoutView="100" workbookViewId="0">
      <selection activeCell="Z10" sqref="Z10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188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309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45684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112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123</v>
      </c>
      <c r="C15" s="146"/>
      <c r="D15" s="146"/>
      <c r="E15" s="146"/>
      <c r="F15" s="146"/>
      <c r="G15" s="146"/>
      <c r="H15" s="147">
        <v>11</v>
      </c>
      <c r="I15" s="148"/>
      <c r="J15" s="149"/>
      <c r="K15" s="150">
        <v>729</v>
      </c>
      <c r="L15" s="151"/>
      <c r="M15" s="133" t="s">
        <v>154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/>
      <c r="C16" s="136"/>
      <c r="D16" s="136"/>
      <c r="E16" s="136"/>
      <c r="F16" s="136"/>
      <c r="G16" s="136"/>
      <c r="H16" s="137"/>
      <c r="I16" s="137"/>
      <c r="J16" s="137"/>
      <c r="K16" s="138"/>
      <c r="L16" s="138"/>
      <c r="M16" s="139"/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/>
      <c r="C17" s="136"/>
      <c r="D17" s="136"/>
      <c r="E17" s="136"/>
      <c r="F17" s="136"/>
      <c r="G17" s="136"/>
      <c r="H17" s="137"/>
      <c r="I17" s="137"/>
      <c r="J17" s="137"/>
      <c r="K17" s="138"/>
      <c r="L17" s="138"/>
      <c r="M17" s="139"/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/>
      <c r="C18" s="136"/>
      <c r="D18" s="136"/>
      <c r="E18" s="136"/>
      <c r="F18" s="136"/>
      <c r="G18" s="136"/>
      <c r="H18" s="137"/>
      <c r="I18" s="137"/>
      <c r="J18" s="137"/>
      <c r="K18" s="138"/>
      <c r="L18" s="138"/>
      <c r="M18" s="139"/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/>
      <c r="I19" s="137"/>
      <c r="J19" s="137"/>
      <c r="K19" s="138"/>
      <c r="L19" s="138"/>
      <c r="M19" s="139"/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/>
      <c r="I20" s="137"/>
      <c r="J20" s="137"/>
      <c r="K20" s="138"/>
      <c r="L20" s="138"/>
      <c r="M20" s="152"/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/>
      <c r="I21" s="137"/>
      <c r="J21" s="137"/>
      <c r="K21" s="138"/>
      <c r="L21" s="138"/>
      <c r="M21" s="139"/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11</v>
      </c>
      <c r="I35" s="156"/>
      <c r="J35" s="157"/>
      <c r="K35" s="158">
        <f>SUM(K15:L34)</f>
        <v>729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/>
      <c r="E37" s="166"/>
      <c r="F37" s="166"/>
      <c r="G37" s="165" t="s">
        <v>23</v>
      </c>
      <c r="H37" s="165"/>
      <c r="I37" s="165"/>
      <c r="J37" s="165"/>
      <c r="K37" s="165"/>
      <c r="L37" s="165"/>
      <c r="M37" s="167"/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/>
      <c r="E38" s="171"/>
      <c r="F38" s="171"/>
      <c r="G38" s="170" t="s">
        <v>25</v>
      </c>
      <c r="H38" s="170"/>
      <c r="I38" s="170"/>
      <c r="J38" s="170"/>
      <c r="K38" s="170"/>
      <c r="L38" s="170"/>
      <c r="M38" s="172"/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6"/>
      <c r="I40" s="36"/>
      <c r="J40" s="36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O537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523773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45684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Esack Brothers Industries Ltd.
Middle Halishahar, Bandar
Chattogram, Bangladesh.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316252-5832</v>
      </c>
      <c r="C55" s="146"/>
      <c r="D55" s="146"/>
      <c r="E55" s="146"/>
      <c r="F55" s="146"/>
      <c r="G55" s="146"/>
      <c r="H55" s="147">
        <f>H15</f>
        <v>11</v>
      </c>
      <c r="I55" s="148"/>
      <c r="J55" s="149"/>
      <c r="K55" s="150">
        <f>K15</f>
        <v>729</v>
      </c>
      <c r="L55" s="151"/>
      <c r="M55" s="133" t="str">
        <f>M15</f>
        <v>ME,BE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>
        <f>B16</f>
        <v>0</v>
      </c>
      <c r="C56" s="136"/>
      <c r="D56" s="136"/>
      <c r="E56" s="136"/>
      <c r="F56" s="136"/>
      <c r="G56" s="136"/>
      <c r="H56" s="137">
        <f>H16</f>
        <v>0</v>
      </c>
      <c r="I56" s="137"/>
      <c r="J56" s="137"/>
      <c r="K56" s="138">
        <f>K16</f>
        <v>0</v>
      </c>
      <c r="L56" s="138"/>
      <c r="M56" s="139">
        <f t="shared" ref="M56:M74" si="0">M16</f>
        <v>0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>
        <f t="shared" si="1"/>
        <v>0</v>
      </c>
      <c r="C57" s="136"/>
      <c r="D57" s="136"/>
      <c r="E57" s="136"/>
      <c r="F57" s="136"/>
      <c r="G57" s="136"/>
      <c r="H57" s="137">
        <f>H17</f>
        <v>0</v>
      </c>
      <c r="I57" s="137"/>
      <c r="J57" s="137"/>
      <c r="K57" s="138">
        <f>K17</f>
        <v>0</v>
      </c>
      <c r="L57" s="138"/>
      <c r="M57" s="139">
        <f t="shared" si="0"/>
        <v>0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>
        <f t="shared" si="1"/>
        <v>0</v>
      </c>
      <c r="C58" s="136"/>
      <c r="D58" s="136"/>
      <c r="E58" s="136"/>
      <c r="F58" s="136"/>
      <c r="G58" s="136"/>
      <c r="H58" s="137">
        <f t="shared" ref="H58:H74" si="3">H18</f>
        <v>0</v>
      </c>
      <c r="I58" s="137"/>
      <c r="J58" s="137"/>
      <c r="K58" s="138">
        <f t="shared" ref="K58:K74" si="4">K18</f>
        <v>0</v>
      </c>
      <c r="L58" s="138"/>
      <c r="M58" s="139">
        <f t="shared" si="0"/>
        <v>0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>
        <f t="shared" si="1"/>
        <v>0</v>
      </c>
      <c r="C59" s="136"/>
      <c r="D59" s="136"/>
      <c r="E59" s="136"/>
      <c r="F59" s="136"/>
      <c r="G59" s="136"/>
      <c r="H59" s="137">
        <f t="shared" si="3"/>
        <v>0</v>
      </c>
      <c r="I59" s="137"/>
      <c r="J59" s="137"/>
      <c r="K59" s="138">
        <f t="shared" si="4"/>
        <v>0</v>
      </c>
      <c r="L59" s="138"/>
      <c r="M59" s="139">
        <f t="shared" si="0"/>
        <v>0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>
        <f t="shared" si="1"/>
        <v>0</v>
      </c>
      <c r="C60" s="136"/>
      <c r="D60" s="136"/>
      <c r="E60" s="136"/>
      <c r="F60" s="136"/>
      <c r="G60" s="136"/>
      <c r="H60" s="137">
        <f t="shared" si="3"/>
        <v>0</v>
      </c>
      <c r="I60" s="137"/>
      <c r="J60" s="137"/>
      <c r="K60" s="138">
        <f t="shared" si="4"/>
        <v>0</v>
      </c>
      <c r="L60" s="138"/>
      <c r="M60" s="139">
        <f t="shared" si="0"/>
        <v>0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>
        <f t="shared" si="1"/>
        <v>0</v>
      </c>
      <c r="C61" s="136"/>
      <c r="D61" s="136"/>
      <c r="E61" s="136"/>
      <c r="F61" s="136"/>
      <c r="G61" s="136"/>
      <c r="H61" s="137">
        <f t="shared" si="3"/>
        <v>0</v>
      </c>
      <c r="I61" s="137"/>
      <c r="J61" s="137"/>
      <c r="K61" s="138">
        <f t="shared" si="4"/>
        <v>0</v>
      </c>
      <c r="L61" s="138"/>
      <c r="M61" s="139">
        <f t="shared" si="0"/>
        <v>0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11</v>
      </c>
      <c r="I75" s="156"/>
      <c r="J75" s="157"/>
      <c r="K75" s="158">
        <f>SUM(K55:L74)</f>
        <v>729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>
        <f>D37</f>
        <v>0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>
        <f>M37</f>
        <v>0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>
        <f>D38</f>
        <v>0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>
        <f>M38</f>
        <v>0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6"/>
      <c r="I80" s="36"/>
      <c r="J80" s="36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O537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523773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45684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Esack Brothers Industries Ltd.
Middle Halishahar, Bandar
Chattogram, Bangladesh.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316252-5832</v>
      </c>
      <c r="C95" s="146"/>
      <c r="D95" s="146"/>
      <c r="E95" s="146"/>
      <c r="F95" s="146"/>
      <c r="G95" s="146"/>
      <c r="H95" s="147">
        <f>H55</f>
        <v>11</v>
      </c>
      <c r="I95" s="148"/>
      <c r="J95" s="149"/>
      <c r="K95" s="150">
        <f>K55</f>
        <v>729</v>
      </c>
      <c r="L95" s="151"/>
      <c r="M95" s="133" t="str">
        <f>M55</f>
        <v>ME,BE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>
        <f>B56</f>
        <v>0</v>
      </c>
      <c r="C96" s="136"/>
      <c r="D96" s="136"/>
      <c r="E96" s="136"/>
      <c r="F96" s="136"/>
      <c r="G96" s="136"/>
      <c r="H96" s="137">
        <f>H56</f>
        <v>0</v>
      </c>
      <c r="I96" s="137"/>
      <c r="J96" s="137"/>
      <c r="K96" s="138">
        <f>K56</f>
        <v>0</v>
      </c>
      <c r="L96" s="138"/>
      <c r="M96" s="139">
        <f>M56</f>
        <v>0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>
        <f t="shared" si="6"/>
        <v>0</v>
      </c>
      <c r="C97" s="136"/>
      <c r="D97" s="136"/>
      <c r="E97" s="136"/>
      <c r="F97" s="136"/>
      <c r="G97" s="136"/>
      <c r="H97" s="137">
        <f>H57</f>
        <v>0</v>
      </c>
      <c r="I97" s="137"/>
      <c r="J97" s="137"/>
      <c r="K97" s="138">
        <f>K57</f>
        <v>0</v>
      </c>
      <c r="L97" s="138"/>
      <c r="M97" s="139">
        <f t="shared" ref="M97:M114" si="7">M57</f>
        <v>0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>
        <f t="shared" si="6"/>
        <v>0</v>
      </c>
      <c r="C98" s="136"/>
      <c r="D98" s="136"/>
      <c r="E98" s="136"/>
      <c r="F98" s="136"/>
      <c r="G98" s="136"/>
      <c r="H98" s="137">
        <f t="shared" ref="H98:H114" si="9">H58</f>
        <v>0</v>
      </c>
      <c r="I98" s="137"/>
      <c r="J98" s="137"/>
      <c r="K98" s="138">
        <f t="shared" ref="K98:K114" si="10">K58</f>
        <v>0</v>
      </c>
      <c r="L98" s="138"/>
      <c r="M98" s="139">
        <f t="shared" si="7"/>
        <v>0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0</v>
      </c>
      <c r="I99" s="137"/>
      <c r="J99" s="137"/>
      <c r="K99" s="138">
        <f t="shared" si="10"/>
        <v>0</v>
      </c>
      <c r="L99" s="138"/>
      <c r="M99" s="139">
        <f t="shared" si="7"/>
        <v>0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0</v>
      </c>
      <c r="I100" s="137"/>
      <c r="J100" s="137"/>
      <c r="K100" s="138">
        <f t="shared" si="10"/>
        <v>0</v>
      </c>
      <c r="L100" s="138"/>
      <c r="M100" s="139">
        <f t="shared" si="7"/>
        <v>0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0</v>
      </c>
      <c r="I101" s="137"/>
      <c r="J101" s="137"/>
      <c r="K101" s="138">
        <f t="shared" si="10"/>
        <v>0</v>
      </c>
      <c r="L101" s="138"/>
      <c r="M101" s="139">
        <f t="shared" si="7"/>
        <v>0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11</v>
      </c>
      <c r="I115" s="156"/>
      <c r="J115" s="157"/>
      <c r="K115" s="158">
        <f>SUM(K95:L114)</f>
        <v>729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>
        <f>D77</f>
        <v>0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>
        <f>M77</f>
        <v>0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>
        <f>D78</f>
        <v>0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>
        <f>M78</f>
        <v>0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6"/>
      <c r="I120" s="36"/>
      <c r="J120" s="36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O537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523773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45684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Esack Brothers Industries Ltd.
Middle Halishahar, Bandar
Chattogram, Bangladesh.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316252-5832</v>
      </c>
      <c r="C135" s="146"/>
      <c r="D135" s="146"/>
      <c r="E135" s="146"/>
      <c r="F135" s="146"/>
      <c r="G135" s="146"/>
      <c r="H135" s="187">
        <f>H95</f>
        <v>11</v>
      </c>
      <c r="I135" s="188"/>
      <c r="J135" s="189"/>
      <c r="K135" s="190">
        <f>K95</f>
        <v>729</v>
      </c>
      <c r="L135" s="191"/>
      <c r="M135" s="133" t="str">
        <f>M95</f>
        <v>ME,BE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>
        <f>B96</f>
        <v>0</v>
      </c>
      <c r="C136" s="136"/>
      <c r="D136" s="136"/>
      <c r="E136" s="136"/>
      <c r="F136" s="136"/>
      <c r="G136" s="136"/>
      <c r="H136" s="179">
        <f>H96</f>
        <v>0</v>
      </c>
      <c r="I136" s="180"/>
      <c r="J136" s="181"/>
      <c r="K136" s="182">
        <f>K96</f>
        <v>0</v>
      </c>
      <c r="L136" s="183"/>
      <c r="M136" s="184">
        <f>M96</f>
        <v>0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>
        <f t="shared" si="12"/>
        <v>0</v>
      </c>
      <c r="C137" s="136"/>
      <c r="D137" s="136"/>
      <c r="E137" s="136"/>
      <c r="F137" s="136"/>
      <c r="G137" s="136"/>
      <c r="H137" s="179">
        <f>H97</f>
        <v>0</v>
      </c>
      <c r="I137" s="180"/>
      <c r="J137" s="181"/>
      <c r="K137" s="182">
        <f>K97</f>
        <v>0</v>
      </c>
      <c r="L137" s="183"/>
      <c r="M137" s="184">
        <f t="shared" ref="M137:M154" si="13">M97</f>
        <v>0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>
        <f t="shared" si="12"/>
        <v>0</v>
      </c>
      <c r="C138" s="136"/>
      <c r="D138" s="136"/>
      <c r="E138" s="136"/>
      <c r="F138" s="136"/>
      <c r="G138" s="136"/>
      <c r="H138" s="179">
        <f t="shared" ref="H138:H154" si="15">H98</f>
        <v>0</v>
      </c>
      <c r="I138" s="180"/>
      <c r="J138" s="181"/>
      <c r="K138" s="182">
        <f t="shared" ref="K138:K154" si="16">K98</f>
        <v>0</v>
      </c>
      <c r="L138" s="183"/>
      <c r="M138" s="184">
        <f t="shared" si="13"/>
        <v>0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0</v>
      </c>
      <c r="I139" s="180"/>
      <c r="J139" s="181"/>
      <c r="K139" s="182">
        <f t="shared" si="16"/>
        <v>0</v>
      </c>
      <c r="L139" s="183"/>
      <c r="M139" s="184">
        <f t="shared" si="13"/>
        <v>0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0</v>
      </c>
      <c r="I140" s="180"/>
      <c r="J140" s="181"/>
      <c r="K140" s="182">
        <f t="shared" si="16"/>
        <v>0</v>
      </c>
      <c r="L140" s="183"/>
      <c r="M140" s="184">
        <f t="shared" si="13"/>
        <v>0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0</v>
      </c>
      <c r="I141" s="180"/>
      <c r="J141" s="181"/>
      <c r="K141" s="182">
        <f t="shared" si="16"/>
        <v>0</v>
      </c>
      <c r="L141" s="183"/>
      <c r="M141" s="184">
        <f t="shared" si="13"/>
        <v>0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11</v>
      </c>
      <c r="I155" s="195"/>
      <c r="J155" s="196"/>
      <c r="K155" s="158">
        <f>SUM(K135:L154)</f>
        <v>729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>
        <f>D117</f>
        <v>0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>
        <f>M117</f>
        <v>0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>
        <f>D118</f>
        <v>0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>
        <f>M118</f>
        <v>0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6"/>
      <c r="I160" s="36"/>
      <c r="J160" s="36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C14:D14 C94:D94 C54:D54 C134:D134" xr:uid="{DF86B14B-195B-4651-A7A0-BD1DB8AFC100}">
      <formula1>$W$7:$W$161</formula1>
    </dataValidation>
    <dataValidation type="list" allowBlank="1" showInputMessage="1" showErrorMessage="1" sqref="L9:P11 L49:P51 L89:P91 L129:P131" xr:uid="{3B5850E3-40D0-4652-A14C-D1CB7C304B20}">
      <formula1>Carrier</formula1>
    </dataValidation>
    <dataValidation type="list" allowBlank="1" showInputMessage="1" showErrorMessage="1" sqref="A8 A48 A88 A128" xr:uid="{750C0D44-3F2F-47E0-B89E-95BFF99D64C0}">
      <formula1>$T$7:$T$35</formula1>
    </dataValidation>
    <dataValidation type="list" allowBlank="1" showInputMessage="1" showErrorMessage="1" sqref="L8:P8 L48:P48 L88:P88 L128:P128" xr:uid="{655ACB77-FA95-4B10-B4E4-82420F8A83B0}">
      <formula1>Mode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28FE-9A7E-41A6-82AC-05D91B369CA8}">
  <sheetPr>
    <tabColor rgb="FF00B050"/>
  </sheetPr>
  <dimension ref="A1:Y168"/>
  <sheetViews>
    <sheetView view="pageBreakPreview" zoomScaleNormal="100" zoomScaleSheetLayoutView="100" workbookViewId="0">
      <selection activeCell="Z37" sqref="Z37"/>
    </sheetView>
  </sheetViews>
  <sheetFormatPr defaultRowHeight="15" x14ac:dyDescent="0.25"/>
  <cols>
    <col min="1" max="1" width="8.42578125" customWidth="1"/>
    <col min="2" max="2" width="6.140625" customWidth="1"/>
    <col min="3" max="7" width="9.7109375" customWidth="1"/>
    <col min="8" max="9" width="5.28515625" customWidth="1"/>
    <col min="10" max="10" width="2" customWidth="1"/>
    <col min="11" max="11" width="1.7109375" customWidth="1"/>
    <col min="12" max="12" width="12.5703125" customWidth="1"/>
    <col min="13" max="13" width="11.42578125" customWidth="1"/>
    <col min="14" max="14" width="1.7109375" customWidth="1"/>
    <col min="15" max="15" width="8.7109375" customWidth="1"/>
    <col min="16" max="16" width="15.7109375" customWidth="1"/>
    <col min="18" max="18" width="0" hidden="1" customWidth="1"/>
    <col min="19" max="19" width="10.28515625" hidden="1" customWidth="1"/>
    <col min="20" max="20" width="37.28515625" hidden="1" customWidth="1"/>
    <col min="21" max="21" width="12.7109375" hidden="1" customWidth="1"/>
    <col min="22" max="22" width="26.7109375" hidden="1" customWidth="1"/>
    <col min="23" max="25" width="0" hidden="1" customWidth="1"/>
  </cols>
  <sheetData>
    <row r="1" spans="1:25" ht="8.25" customHeight="1" x14ac:dyDescent="0.25"/>
    <row r="2" spans="1:25" ht="36.75" customHeight="1" x14ac:dyDescent="0.25">
      <c r="A2" s="64"/>
      <c r="B2" s="64"/>
      <c r="C2" s="64"/>
      <c r="D2" s="65" t="s">
        <v>27</v>
      </c>
      <c r="E2" s="65"/>
      <c r="F2" s="65"/>
      <c r="G2" s="65"/>
      <c r="H2" s="65"/>
      <c r="I2" s="65"/>
      <c r="J2" s="65"/>
      <c r="K2" s="65"/>
      <c r="L2" s="65"/>
      <c r="M2" s="66" t="s">
        <v>26</v>
      </c>
      <c r="N2" s="66"/>
      <c r="O2" s="66"/>
      <c r="P2" s="66"/>
      <c r="Q2" s="10"/>
    </row>
    <row r="3" spans="1:25" ht="22.15" customHeight="1" x14ac:dyDescent="0.25">
      <c r="A3" s="64"/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10"/>
    </row>
    <row r="4" spans="1:25" ht="17.45" customHeight="1" x14ac:dyDescent="0.25">
      <c r="A4" s="67"/>
      <c r="B4" s="67"/>
      <c r="C4" s="67"/>
      <c r="D4" s="68" t="s">
        <v>21</v>
      </c>
      <c r="E4" s="68"/>
      <c r="F4" s="68"/>
      <c r="G4" s="68"/>
      <c r="H4" s="68"/>
      <c r="I4" s="68"/>
      <c r="J4" s="68"/>
      <c r="K4" s="68"/>
      <c r="L4" s="68"/>
      <c r="M4" s="11"/>
    </row>
    <row r="5" spans="1:25" ht="22.15" customHeight="1" thickBot="1" x14ac:dyDescent="0.35">
      <c r="A5" s="69"/>
      <c r="B5" s="69"/>
      <c r="C5" s="1"/>
      <c r="D5" s="70" t="s">
        <v>89</v>
      </c>
      <c r="E5" s="70"/>
      <c r="F5" s="70"/>
      <c r="G5" s="70"/>
      <c r="H5" s="70"/>
      <c r="I5" s="70"/>
      <c r="J5" s="70"/>
      <c r="K5" s="70"/>
      <c r="L5" s="70"/>
      <c r="M5" s="2"/>
      <c r="N5" s="64"/>
      <c r="O5" s="64"/>
      <c r="P5" s="64"/>
    </row>
    <row r="6" spans="1:25" ht="15.6" customHeight="1" thickBot="1" x14ac:dyDescent="0.35">
      <c r="A6" s="98" t="s">
        <v>9</v>
      </c>
      <c r="B6" s="99"/>
      <c r="C6" s="100" t="s">
        <v>189</v>
      </c>
      <c r="D6" s="100"/>
      <c r="E6" s="100"/>
      <c r="F6" s="101"/>
      <c r="G6" s="2"/>
      <c r="H6" s="102" t="s">
        <v>4</v>
      </c>
      <c r="I6" s="103"/>
      <c r="J6" s="103"/>
      <c r="K6" s="8" t="s">
        <v>7</v>
      </c>
      <c r="L6" s="104" t="s">
        <v>310</v>
      </c>
      <c r="M6" s="104"/>
      <c r="N6" s="104"/>
      <c r="O6" s="104"/>
      <c r="P6" s="105"/>
      <c r="R6" s="12" t="s">
        <v>32</v>
      </c>
      <c r="S6" s="12"/>
      <c r="T6" s="12" t="s">
        <v>28</v>
      </c>
      <c r="U6" s="12" t="s">
        <v>8</v>
      </c>
      <c r="V6" s="13" t="s">
        <v>6</v>
      </c>
      <c r="W6" s="13" t="s">
        <v>53</v>
      </c>
      <c r="X6" s="13"/>
      <c r="Y6" s="13"/>
    </row>
    <row r="7" spans="1:25" ht="17.45" customHeight="1" x14ac:dyDescent="0.3">
      <c r="A7" s="18" t="s">
        <v>10</v>
      </c>
      <c r="B7" s="15"/>
      <c r="C7" s="15"/>
      <c r="D7" s="15"/>
      <c r="E7" s="15"/>
      <c r="F7" s="16"/>
      <c r="G7" s="2"/>
      <c r="H7" s="79" t="s">
        <v>5</v>
      </c>
      <c r="I7" s="80"/>
      <c r="J7" s="80"/>
      <c r="K7" s="9" t="s">
        <v>7</v>
      </c>
      <c r="L7" s="106">
        <v>45684</v>
      </c>
      <c r="M7" s="106"/>
      <c r="N7" s="106"/>
      <c r="O7" s="106"/>
      <c r="P7" s="107"/>
      <c r="R7" s="28">
        <v>1</v>
      </c>
      <c r="S7" s="28" t="s">
        <v>39</v>
      </c>
      <c r="T7" s="29" t="s">
        <v>33</v>
      </c>
      <c r="U7" s="17" t="s">
        <v>29</v>
      </c>
      <c r="V7" s="71" t="s">
        <v>47</v>
      </c>
      <c r="W7" t="s">
        <v>54</v>
      </c>
    </row>
    <row r="8" spans="1:25" ht="18" customHeight="1" x14ac:dyDescent="0.3">
      <c r="A8" s="73" t="s">
        <v>236</v>
      </c>
      <c r="B8" s="74"/>
      <c r="C8" s="74"/>
      <c r="D8" s="74"/>
      <c r="E8" s="74"/>
      <c r="F8" s="75"/>
      <c r="G8" s="2"/>
      <c r="H8" s="79" t="s">
        <v>8</v>
      </c>
      <c r="I8" s="80"/>
      <c r="J8" s="80"/>
      <c r="K8" s="9" t="s">
        <v>7</v>
      </c>
      <c r="L8" s="81" t="s">
        <v>29</v>
      </c>
      <c r="M8" s="81"/>
      <c r="N8" s="81"/>
      <c r="O8" s="81"/>
      <c r="P8" s="82"/>
      <c r="R8" s="28">
        <v>2</v>
      </c>
      <c r="S8" s="28" t="s">
        <v>40</v>
      </c>
      <c r="T8" s="29" t="s">
        <v>99</v>
      </c>
      <c r="U8" s="17" t="s">
        <v>30</v>
      </c>
      <c r="V8" s="72"/>
      <c r="W8" t="s">
        <v>55</v>
      </c>
    </row>
    <row r="9" spans="1:25" ht="17.45" customHeight="1" x14ac:dyDescent="0.3">
      <c r="A9" s="73"/>
      <c r="B9" s="74"/>
      <c r="C9" s="74"/>
      <c r="D9" s="74"/>
      <c r="E9" s="74"/>
      <c r="F9" s="75"/>
      <c r="G9" s="2"/>
      <c r="H9" s="83" t="s">
        <v>6</v>
      </c>
      <c r="I9" s="84"/>
      <c r="J9" s="84"/>
      <c r="K9" s="89" t="s">
        <v>7</v>
      </c>
      <c r="L9" s="92" t="s">
        <v>52</v>
      </c>
      <c r="M9" s="92"/>
      <c r="N9" s="92"/>
      <c r="O9" s="92"/>
      <c r="P9" s="93"/>
      <c r="R9" s="28">
        <v>3</v>
      </c>
      <c r="S9" s="28" t="s">
        <v>41</v>
      </c>
      <c r="T9" s="29" t="s">
        <v>100</v>
      </c>
      <c r="U9" s="17" t="s">
        <v>31</v>
      </c>
      <c r="V9" s="72"/>
      <c r="W9" t="s">
        <v>56</v>
      </c>
    </row>
    <row r="10" spans="1:25" ht="18" customHeight="1" thickBot="1" x14ac:dyDescent="0.35">
      <c r="A10" s="76"/>
      <c r="B10" s="77"/>
      <c r="C10" s="77"/>
      <c r="D10" s="77"/>
      <c r="E10" s="77"/>
      <c r="F10" s="78"/>
      <c r="G10" s="2"/>
      <c r="H10" s="85"/>
      <c r="I10" s="86"/>
      <c r="J10" s="86"/>
      <c r="K10" s="90"/>
      <c r="L10" s="94"/>
      <c r="M10" s="94"/>
      <c r="N10" s="94"/>
      <c r="O10" s="94"/>
      <c r="P10" s="95"/>
      <c r="R10" s="28">
        <v>4</v>
      </c>
      <c r="S10" s="28" t="s">
        <v>42</v>
      </c>
      <c r="T10" s="30" t="s">
        <v>34</v>
      </c>
      <c r="U10" s="17"/>
      <c r="V10" s="71" t="s">
        <v>48</v>
      </c>
      <c r="W10" t="s">
        <v>57</v>
      </c>
    </row>
    <row r="11" spans="1:25" ht="18" customHeight="1" thickBot="1" x14ac:dyDescent="0.35">
      <c r="A11" s="69"/>
      <c r="B11" s="69"/>
      <c r="C11" s="1"/>
      <c r="D11" s="2"/>
      <c r="E11" s="2"/>
      <c r="F11" s="2"/>
      <c r="G11" s="2"/>
      <c r="H11" s="87"/>
      <c r="I11" s="88"/>
      <c r="J11" s="88"/>
      <c r="K11" s="91"/>
      <c r="L11" s="96"/>
      <c r="M11" s="96"/>
      <c r="N11" s="96"/>
      <c r="O11" s="96"/>
      <c r="P11" s="97"/>
      <c r="R11" s="28">
        <v>5</v>
      </c>
      <c r="S11" s="28" t="s">
        <v>43</v>
      </c>
      <c r="T11" s="30" t="s">
        <v>35</v>
      </c>
      <c r="U11" s="17"/>
      <c r="V11" s="72"/>
      <c r="W11" t="s">
        <v>58</v>
      </c>
    </row>
    <row r="12" spans="1:25" ht="16.149999999999999" customHeight="1" x14ac:dyDescent="0.25">
      <c r="A12" s="130" t="s">
        <v>12</v>
      </c>
      <c r="B12" s="131"/>
      <c r="C12" s="132" t="s">
        <v>0</v>
      </c>
      <c r="D12" s="132"/>
      <c r="E12" s="132"/>
      <c r="F12" s="132"/>
      <c r="G12" s="132"/>
      <c r="H12" s="108" t="s">
        <v>1</v>
      </c>
      <c r="I12" s="109"/>
      <c r="J12" s="109"/>
      <c r="K12" s="109"/>
      <c r="L12" s="110"/>
      <c r="M12" s="111" t="s">
        <v>16</v>
      </c>
      <c r="N12" s="112"/>
      <c r="O12" s="113"/>
      <c r="P12" s="120" t="s">
        <v>3</v>
      </c>
      <c r="R12" s="28">
        <v>6</v>
      </c>
      <c r="S12" s="28" t="s">
        <v>44</v>
      </c>
      <c r="T12" s="30" t="s">
        <v>36</v>
      </c>
      <c r="U12" s="17"/>
      <c r="V12" s="72"/>
      <c r="W12" t="s">
        <v>67</v>
      </c>
    </row>
    <row r="13" spans="1:25" ht="16.149999999999999" customHeight="1" x14ac:dyDescent="0.25">
      <c r="A13" s="3" t="s">
        <v>13</v>
      </c>
      <c r="B13" s="33">
        <v>0</v>
      </c>
      <c r="C13" s="123" t="s">
        <v>14</v>
      </c>
      <c r="D13" s="123"/>
      <c r="E13" s="123"/>
      <c r="F13" s="123"/>
      <c r="G13" s="123"/>
      <c r="H13" s="124" t="s">
        <v>2</v>
      </c>
      <c r="I13" s="125"/>
      <c r="J13" s="126"/>
      <c r="K13" s="124" t="s">
        <v>15</v>
      </c>
      <c r="L13" s="126"/>
      <c r="M13" s="114"/>
      <c r="N13" s="115"/>
      <c r="O13" s="116"/>
      <c r="P13" s="121"/>
      <c r="R13" s="28">
        <v>7</v>
      </c>
      <c r="S13" s="28" t="s">
        <v>45</v>
      </c>
      <c r="T13" s="30" t="s">
        <v>37</v>
      </c>
      <c r="U13" s="12"/>
      <c r="V13" s="71" t="s">
        <v>49</v>
      </c>
      <c r="W13" t="s">
        <v>59</v>
      </c>
    </row>
    <row r="14" spans="1:25" ht="16.149999999999999" customHeight="1" thickBot="1" x14ac:dyDescent="0.3">
      <c r="A14" s="140" t="s">
        <v>11</v>
      </c>
      <c r="B14" s="141"/>
      <c r="C14" s="142" t="s">
        <v>66</v>
      </c>
      <c r="D14" s="143"/>
      <c r="E14" s="144" t="s">
        <v>88</v>
      </c>
      <c r="F14" s="145"/>
      <c r="G14" s="141"/>
      <c r="H14" s="127"/>
      <c r="I14" s="128"/>
      <c r="J14" s="129"/>
      <c r="K14" s="127"/>
      <c r="L14" s="129"/>
      <c r="M14" s="117"/>
      <c r="N14" s="118"/>
      <c r="O14" s="119"/>
      <c r="P14" s="122"/>
      <c r="R14" s="28">
        <v>8</v>
      </c>
      <c r="S14" s="28" t="s">
        <v>46</v>
      </c>
      <c r="T14" s="30" t="s">
        <v>38</v>
      </c>
      <c r="U14" s="12"/>
      <c r="V14" s="72"/>
      <c r="W14" t="s">
        <v>60</v>
      </c>
    </row>
    <row r="15" spans="1:25" ht="25.15" customHeight="1" x14ac:dyDescent="0.25">
      <c r="A15" s="31"/>
      <c r="B15" s="146" t="s">
        <v>123</v>
      </c>
      <c r="C15" s="146"/>
      <c r="D15" s="146"/>
      <c r="E15" s="146"/>
      <c r="F15" s="146"/>
      <c r="G15" s="146"/>
      <c r="H15" s="147">
        <v>59</v>
      </c>
      <c r="I15" s="148"/>
      <c r="J15" s="149"/>
      <c r="K15" s="150">
        <v>4351</v>
      </c>
      <c r="L15" s="151"/>
      <c r="M15" s="133" t="s">
        <v>311</v>
      </c>
      <c r="N15" s="134"/>
      <c r="O15" s="135"/>
      <c r="P15" s="34"/>
      <c r="R15" s="28">
        <v>9</v>
      </c>
      <c r="S15" s="28" t="s">
        <v>96</v>
      </c>
      <c r="T15" s="30" t="s">
        <v>93</v>
      </c>
      <c r="U15" s="12"/>
      <c r="V15" s="72"/>
      <c r="W15" t="s">
        <v>61</v>
      </c>
    </row>
    <row r="16" spans="1:25" ht="25.15" customHeight="1" x14ac:dyDescent="0.25">
      <c r="A16" s="32"/>
      <c r="B16" s="136" t="s">
        <v>307</v>
      </c>
      <c r="C16" s="136"/>
      <c r="D16" s="136"/>
      <c r="E16" s="136"/>
      <c r="F16" s="136"/>
      <c r="G16" s="136"/>
      <c r="H16" s="137">
        <v>36</v>
      </c>
      <c r="I16" s="137"/>
      <c r="J16" s="137"/>
      <c r="K16" s="138">
        <v>2699</v>
      </c>
      <c r="L16" s="138"/>
      <c r="M16" s="139" t="s">
        <v>239</v>
      </c>
      <c r="N16" s="139"/>
      <c r="O16" s="139"/>
      <c r="P16" s="35"/>
      <c r="R16" s="28">
        <v>10</v>
      </c>
      <c r="S16" s="28" t="s">
        <v>98</v>
      </c>
      <c r="T16" s="30" t="s">
        <v>94</v>
      </c>
      <c r="U16" s="12"/>
      <c r="V16" s="71" t="s">
        <v>50</v>
      </c>
      <c r="W16" t="s">
        <v>62</v>
      </c>
    </row>
    <row r="17" spans="1:23" ht="25.15" customHeight="1" x14ac:dyDescent="0.25">
      <c r="A17" s="32"/>
      <c r="B17" s="136"/>
      <c r="C17" s="136"/>
      <c r="D17" s="136"/>
      <c r="E17" s="136"/>
      <c r="F17" s="136"/>
      <c r="G17" s="136"/>
      <c r="H17" s="137"/>
      <c r="I17" s="137"/>
      <c r="J17" s="137"/>
      <c r="K17" s="138"/>
      <c r="L17" s="138"/>
      <c r="M17" s="139"/>
      <c r="N17" s="139"/>
      <c r="O17" s="139"/>
      <c r="P17" s="35"/>
      <c r="R17" s="28">
        <v>11</v>
      </c>
      <c r="S17" s="28" t="s">
        <v>97</v>
      </c>
      <c r="T17" s="30" t="s">
        <v>95</v>
      </c>
      <c r="U17" s="12"/>
      <c r="V17" s="72"/>
      <c r="W17" t="s">
        <v>63</v>
      </c>
    </row>
    <row r="18" spans="1:23" ht="25.15" customHeight="1" x14ac:dyDescent="0.25">
      <c r="A18" s="32"/>
      <c r="B18" s="136"/>
      <c r="C18" s="136"/>
      <c r="D18" s="136"/>
      <c r="E18" s="136"/>
      <c r="F18" s="136"/>
      <c r="G18" s="136"/>
      <c r="H18" s="137"/>
      <c r="I18" s="137"/>
      <c r="J18" s="137"/>
      <c r="K18" s="138"/>
      <c r="L18" s="138"/>
      <c r="M18" s="139"/>
      <c r="N18" s="139"/>
      <c r="O18" s="139"/>
      <c r="P18" s="35"/>
      <c r="R18" s="28">
        <v>12</v>
      </c>
      <c r="S18" s="28" t="s">
        <v>101</v>
      </c>
      <c r="T18" s="30" t="s">
        <v>102</v>
      </c>
      <c r="U18" s="12"/>
      <c r="V18" s="72"/>
      <c r="W18" t="s">
        <v>64</v>
      </c>
    </row>
    <row r="19" spans="1:23" ht="25.15" customHeight="1" x14ac:dyDescent="0.25">
      <c r="A19" s="32"/>
      <c r="B19" s="136"/>
      <c r="C19" s="136"/>
      <c r="D19" s="136"/>
      <c r="E19" s="136"/>
      <c r="F19" s="136"/>
      <c r="G19" s="136"/>
      <c r="H19" s="137"/>
      <c r="I19" s="137"/>
      <c r="J19" s="137"/>
      <c r="K19" s="138"/>
      <c r="L19" s="138"/>
      <c r="M19" s="139"/>
      <c r="N19" s="139"/>
      <c r="O19" s="139"/>
      <c r="P19" s="35"/>
      <c r="R19" s="28">
        <v>13</v>
      </c>
      <c r="S19" s="28" t="s">
        <v>104</v>
      </c>
      <c r="T19" s="30" t="s">
        <v>103</v>
      </c>
      <c r="U19" s="12"/>
      <c r="V19" s="71" t="s">
        <v>51</v>
      </c>
      <c r="W19" t="s">
        <v>65</v>
      </c>
    </row>
    <row r="20" spans="1:23" ht="25.15" customHeight="1" x14ac:dyDescent="0.25">
      <c r="A20" s="32"/>
      <c r="B20" s="136"/>
      <c r="C20" s="136"/>
      <c r="D20" s="136"/>
      <c r="E20" s="136"/>
      <c r="F20" s="136"/>
      <c r="G20" s="136"/>
      <c r="H20" s="137"/>
      <c r="I20" s="137"/>
      <c r="J20" s="137"/>
      <c r="K20" s="138"/>
      <c r="L20" s="138"/>
      <c r="M20" s="152"/>
      <c r="N20" s="139"/>
      <c r="O20" s="139"/>
      <c r="P20" s="35"/>
      <c r="R20" s="28">
        <v>14</v>
      </c>
      <c r="S20" s="28" t="s">
        <v>105</v>
      </c>
      <c r="T20" s="30" t="s">
        <v>106</v>
      </c>
      <c r="U20" s="12"/>
      <c r="V20" s="72"/>
      <c r="W20" t="s">
        <v>66</v>
      </c>
    </row>
    <row r="21" spans="1:23" ht="25.15" customHeight="1" x14ac:dyDescent="0.25">
      <c r="A21" s="32"/>
      <c r="B21" s="136"/>
      <c r="C21" s="136"/>
      <c r="D21" s="136"/>
      <c r="E21" s="136"/>
      <c r="F21" s="136"/>
      <c r="G21" s="136"/>
      <c r="H21" s="137"/>
      <c r="I21" s="137"/>
      <c r="J21" s="137"/>
      <c r="K21" s="138"/>
      <c r="L21" s="138"/>
      <c r="M21" s="139"/>
      <c r="N21" s="139"/>
      <c r="O21" s="139"/>
      <c r="P21" s="35"/>
      <c r="R21" s="28">
        <v>15</v>
      </c>
      <c r="S21" s="28" t="s">
        <v>108</v>
      </c>
      <c r="T21" s="30" t="s">
        <v>107</v>
      </c>
      <c r="U21" s="12"/>
      <c r="V21" s="72"/>
      <c r="W21" t="s">
        <v>68</v>
      </c>
    </row>
    <row r="22" spans="1:23" ht="25.15" customHeight="1" x14ac:dyDescent="0.25">
      <c r="A22" s="32"/>
      <c r="B22" s="136"/>
      <c r="C22" s="136"/>
      <c r="D22" s="136"/>
      <c r="E22" s="136"/>
      <c r="F22" s="136"/>
      <c r="G22" s="136"/>
      <c r="H22" s="137"/>
      <c r="I22" s="137"/>
      <c r="J22" s="137"/>
      <c r="K22" s="138"/>
      <c r="L22" s="138"/>
      <c r="M22" s="139"/>
      <c r="N22" s="139"/>
      <c r="O22" s="139"/>
      <c r="P22" s="35"/>
      <c r="R22" s="28">
        <v>16</v>
      </c>
      <c r="S22" s="28" t="s">
        <v>110</v>
      </c>
      <c r="T22" s="30" t="s">
        <v>109</v>
      </c>
      <c r="U22" s="12"/>
      <c r="W22" t="s">
        <v>69</v>
      </c>
    </row>
    <row r="23" spans="1:23" ht="25.15" customHeight="1" x14ac:dyDescent="0.25">
      <c r="A23" s="32"/>
      <c r="B23" s="136"/>
      <c r="C23" s="136"/>
      <c r="D23" s="136"/>
      <c r="E23" s="136"/>
      <c r="F23" s="136"/>
      <c r="G23" s="136"/>
      <c r="H23" s="137"/>
      <c r="I23" s="137"/>
      <c r="J23" s="137"/>
      <c r="K23" s="138"/>
      <c r="L23" s="138"/>
      <c r="M23" s="139"/>
      <c r="N23" s="139"/>
      <c r="O23" s="139"/>
      <c r="P23" s="35"/>
      <c r="R23" s="28"/>
      <c r="S23" s="28"/>
      <c r="T23" s="30"/>
      <c r="U23" s="12"/>
      <c r="W23" t="s">
        <v>70</v>
      </c>
    </row>
    <row r="24" spans="1:23" ht="25.15" customHeight="1" x14ac:dyDescent="0.25">
      <c r="A24" s="32"/>
      <c r="B24" s="136"/>
      <c r="C24" s="136"/>
      <c r="D24" s="136"/>
      <c r="E24" s="136"/>
      <c r="F24" s="136"/>
      <c r="G24" s="136"/>
      <c r="H24" s="137"/>
      <c r="I24" s="137"/>
      <c r="J24" s="137"/>
      <c r="K24" s="138"/>
      <c r="L24" s="138"/>
      <c r="M24" s="139"/>
      <c r="N24" s="139"/>
      <c r="O24" s="139"/>
      <c r="P24" s="35"/>
      <c r="R24" s="28"/>
      <c r="S24" s="28"/>
      <c r="T24" s="30"/>
      <c r="U24" s="12"/>
      <c r="W24" t="s">
        <v>71</v>
      </c>
    </row>
    <row r="25" spans="1:23" ht="25.15" customHeight="1" x14ac:dyDescent="0.25">
      <c r="A25" s="32"/>
      <c r="B25" s="136"/>
      <c r="C25" s="136"/>
      <c r="D25" s="136"/>
      <c r="E25" s="136"/>
      <c r="F25" s="136"/>
      <c r="G25" s="136"/>
      <c r="H25" s="137"/>
      <c r="I25" s="137"/>
      <c r="J25" s="137"/>
      <c r="K25" s="138"/>
      <c r="L25" s="138"/>
      <c r="M25" s="139"/>
      <c r="N25" s="139"/>
      <c r="O25" s="139"/>
      <c r="P25" s="35"/>
      <c r="R25" s="28"/>
      <c r="S25" s="28"/>
      <c r="T25" s="30"/>
      <c r="U25" s="12"/>
      <c r="W25" t="s">
        <v>72</v>
      </c>
    </row>
    <row r="26" spans="1:23" ht="25.15" customHeight="1" x14ac:dyDescent="0.25">
      <c r="A26" s="32"/>
      <c r="B26" s="136"/>
      <c r="C26" s="136"/>
      <c r="D26" s="136"/>
      <c r="E26" s="136"/>
      <c r="F26" s="136"/>
      <c r="G26" s="136"/>
      <c r="H26" s="137"/>
      <c r="I26" s="137"/>
      <c r="J26" s="137"/>
      <c r="K26" s="138"/>
      <c r="L26" s="138"/>
      <c r="M26" s="139"/>
      <c r="N26" s="139"/>
      <c r="O26" s="139"/>
      <c r="P26" s="35"/>
      <c r="R26" s="14"/>
      <c r="S26" s="14"/>
      <c r="T26" s="30"/>
      <c r="U26" s="12"/>
      <c r="W26" t="s">
        <v>73</v>
      </c>
    </row>
    <row r="27" spans="1:23" ht="25.15" customHeight="1" x14ac:dyDescent="0.25">
      <c r="A27" s="32"/>
      <c r="B27" s="136"/>
      <c r="C27" s="136"/>
      <c r="D27" s="136"/>
      <c r="E27" s="136"/>
      <c r="F27" s="136"/>
      <c r="G27" s="136"/>
      <c r="H27" s="137"/>
      <c r="I27" s="137"/>
      <c r="J27" s="137"/>
      <c r="K27" s="138"/>
      <c r="L27" s="138"/>
      <c r="M27" s="139"/>
      <c r="N27" s="139"/>
      <c r="O27" s="139"/>
      <c r="P27" s="35"/>
      <c r="R27" s="14"/>
      <c r="S27" s="14"/>
      <c r="T27" s="30"/>
      <c r="U27" s="12"/>
      <c r="W27" t="s">
        <v>74</v>
      </c>
    </row>
    <row r="28" spans="1:23" ht="25.15" customHeight="1" x14ac:dyDescent="0.25">
      <c r="A28" s="32"/>
      <c r="B28" s="136"/>
      <c r="C28" s="136"/>
      <c r="D28" s="136"/>
      <c r="E28" s="136"/>
      <c r="F28" s="136"/>
      <c r="G28" s="136"/>
      <c r="H28" s="137"/>
      <c r="I28" s="137"/>
      <c r="J28" s="137"/>
      <c r="K28" s="138"/>
      <c r="L28" s="138"/>
      <c r="M28" s="139"/>
      <c r="N28" s="139"/>
      <c r="O28" s="139"/>
      <c r="P28" s="35"/>
      <c r="R28" s="14"/>
      <c r="S28" s="14"/>
      <c r="T28" s="30"/>
      <c r="U28" s="12"/>
      <c r="W28" t="s">
        <v>75</v>
      </c>
    </row>
    <row r="29" spans="1:23" ht="25.15" customHeight="1" x14ac:dyDescent="0.25">
      <c r="A29" s="32"/>
      <c r="B29" s="136"/>
      <c r="C29" s="136"/>
      <c r="D29" s="136"/>
      <c r="E29" s="136"/>
      <c r="F29" s="136"/>
      <c r="G29" s="136"/>
      <c r="H29" s="137"/>
      <c r="I29" s="137"/>
      <c r="J29" s="137"/>
      <c r="K29" s="138"/>
      <c r="L29" s="138"/>
      <c r="M29" s="139"/>
      <c r="N29" s="139"/>
      <c r="O29" s="139"/>
      <c r="P29" s="35"/>
      <c r="R29" s="23"/>
      <c r="S29" s="24"/>
      <c r="T29" s="21"/>
      <c r="U29" s="12"/>
      <c r="W29" t="s">
        <v>76</v>
      </c>
    </row>
    <row r="30" spans="1:23" ht="25.15" customHeight="1" x14ac:dyDescent="0.25">
      <c r="A30" s="32"/>
      <c r="B30" s="136"/>
      <c r="C30" s="136"/>
      <c r="D30" s="136"/>
      <c r="E30" s="136"/>
      <c r="F30" s="136"/>
      <c r="G30" s="136"/>
      <c r="H30" s="137"/>
      <c r="I30" s="137"/>
      <c r="J30" s="137"/>
      <c r="K30" s="138"/>
      <c r="L30" s="138"/>
      <c r="M30" s="139"/>
      <c r="N30" s="139"/>
      <c r="O30" s="139"/>
      <c r="P30" s="35"/>
      <c r="R30" s="25"/>
      <c r="S30" s="25"/>
      <c r="T30" s="22"/>
      <c r="U30" s="12"/>
      <c r="W30" t="s">
        <v>77</v>
      </c>
    </row>
    <row r="31" spans="1:23" ht="25.15" customHeight="1" x14ac:dyDescent="0.25">
      <c r="A31" s="32"/>
      <c r="B31" s="136"/>
      <c r="C31" s="136"/>
      <c r="D31" s="136"/>
      <c r="E31" s="136"/>
      <c r="F31" s="136"/>
      <c r="G31" s="136"/>
      <c r="H31" s="137"/>
      <c r="I31" s="137"/>
      <c r="J31" s="137"/>
      <c r="K31" s="138"/>
      <c r="L31" s="138"/>
      <c r="M31" s="139"/>
      <c r="N31" s="139"/>
      <c r="O31" s="139"/>
      <c r="P31" s="35"/>
      <c r="R31" s="23"/>
      <c r="S31" s="24"/>
      <c r="T31" s="21"/>
      <c r="U31" s="12"/>
      <c r="W31" t="s">
        <v>78</v>
      </c>
    </row>
    <row r="32" spans="1:23" ht="25.15" customHeight="1" x14ac:dyDescent="0.25">
      <c r="A32" s="32"/>
      <c r="B32" s="136"/>
      <c r="C32" s="136"/>
      <c r="D32" s="136"/>
      <c r="E32" s="136"/>
      <c r="F32" s="136"/>
      <c r="G32" s="136"/>
      <c r="H32" s="137"/>
      <c r="I32" s="137"/>
      <c r="J32" s="137"/>
      <c r="K32" s="138"/>
      <c r="L32" s="138"/>
      <c r="M32" s="139"/>
      <c r="N32" s="139"/>
      <c r="O32" s="139"/>
      <c r="P32" s="35"/>
      <c r="R32" s="25"/>
      <c r="S32" s="25"/>
      <c r="T32" s="22"/>
      <c r="W32" t="s">
        <v>79</v>
      </c>
    </row>
    <row r="33" spans="1:23" ht="25.15" customHeight="1" x14ac:dyDescent="0.25">
      <c r="A33" s="32"/>
      <c r="B33" s="136"/>
      <c r="C33" s="136"/>
      <c r="D33" s="136"/>
      <c r="E33" s="136"/>
      <c r="F33" s="136"/>
      <c r="G33" s="136"/>
      <c r="H33" s="137"/>
      <c r="I33" s="137"/>
      <c r="J33" s="137"/>
      <c r="K33" s="138"/>
      <c r="L33" s="138"/>
      <c r="M33" s="139"/>
      <c r="N33" s="139"/>
      <c r="O33" s="139"/>
      <c r="P33" s="35"/>
      <c r="R33" s="23"/>
      <c r="S33" s="24"/>
      <c r="T33" s="21"/>
      <c r="W33" t="s">
        <v>80</v>
      </c>
    </row>
    <row r="34" spans="1:23" ht="25.15" customHeight="1" x14ac:dyDescent="0.25">
      <c r="A34" s="32"/>
      <c r="B34" s="136"/>
      <c r="C34" s="136"/>
      <c r="D34" s="136"/>
      <c r="E34" s="136"/>
      <c r="F34" s="136"/>
      <c r="G34" s="136"/>
      <c r="H34" s="137"/>
      <c r="I34" s="137"/>
      <c r="J34" s="137"/>
      <c r="K34" s="138"/>
      <c r="L34" s="138"/>
      <c r="M34" s="139"/>
      <c r="N34" s="139"/>
      <c r="O34" s="139"/>
      <c r="P34" s="35"/>
      <c r="R34" s="25"/>
      <c r="S34" s="25"/>
      <c r="T34" s="22"/>
      <c r="W34" t="s">
        <v>81</v>
      </c>
    </row>
    <row r="35" spans="1:23" ht="21.95" customHeight="1" thickBot="1" x14ac:dyDescent="0.3">
      <c r="A35" s="153" t="s">
        <v>17</v>
      </c>
      <c r="B35" s="154"/>
      <c r="C35" s="154"/>
      <c r="D35" s="154"/>
      <c r="E35" s="154"/>
      <c r="F35" s="154"/>
      <c r="G35" s="143"/>
      <c r="H35" s="155">
        <f>SUM(H15:J34)</f>
        <v>95</v>
      </c>
      <c r="I35" s="156"/>
      <c r="J35" s="157"/>
      <c r="K35" s="158">
        <f>SUM(K15:L34)</f>
        <v>7050</v>
      </c>
      <c r="L35" s="159"/>
      <c r="M35" s="160"/>
      <c r="N35" s="161"/>
      <c r="O35" s="162"/>
      <c r="P35" s="19"/>
      <c r="R35" s="23"/>
      <c r="S35" s="24"/>
      <c r="T35" s="21"/>
      <c r="W35" t="s">
        <v>82</v>
      </c>
    </row>
    <row r="36" spans="1:23" x14ac:dyDescent="0.25">
      <c r="R36" s="25"/>
      <c r="S36" s="25"/>
      <c r="T36" s="22"/>
      <c r="W36" t="s">
        <v>83</v>
      </c>
    </row>
    <row r="37" spans="1:23" ht="31.9" customHeight="1" x14ac:dyDescent="0.25">
      <c r="A37" s="164" t="s">
        <v>22</v>
      </c>
      <c r="B37" s="165"/>
      <c r="C37" s="165"/>
      <c r="D37" s="166" t="s">
        <v>314</v>
      </c>
      <c r="E37" s="166"/>
      <c r="F37" s="166"/>
      <c r="G37" s="165" t="s">
        <v>23</v>
      </c>
      <c r="H37" s="165"/>
      <c r="I37" s="165"/>
      <c r="J37" s="165"/>
      <c r="K37" s="165"/>
      <c r="L37" s="165"/>
      <c r="M37" s="167" t="s">
        <v>313</v>
      </c>
      <c r="N37" s="167"/>
      <c r="O37" s="167"/>
      <c r="P37" s="168"/>
      <c r="R37" s="23"/>
      <c r="S37" s="24"/>
      <c r="T37" s="21"/>
      <c r="W37" t="s">
        <v>84</v>
      </c>
    </row>
    <row r="38" spans="1:23" ht="31.9" customHeight="1" x14ac:dyDescent="0.25">
      <c r="A38" s="169" t="s">
        <v>24</v>
      </c>
      <c r="B38" s="170"/>
      <c r="C38" s="170"/>
      <c r="D38" s="171" t="s">
        <v>259</v>
      </c>
      <c r="E38" s="171"/>
      <c r="F38" s="171"/>
      <c r="G38" s="170" t="s">
        <v>25</v>
      </c>
      <c r="H38" s="170"/>
      <c r="I38" s="170"/>
      <c r="J38" s="170"/>
      <c r="K38" s="170"/>
      <c r="L38" s="170"/>
      <c r="M38" s="172" t="s">
        <v>312</v>
      </c>
      <c r="N38" s="172"/>
      <c r="O38" s="172"/>
      <c r="P38" s="173"/>
      <c r="R38" s="25"/>
      <c r="S38" s="25"/>
      <c r="T38" s="22"/>
      <c r="W38" t="s">
        <v>85</v>
      </c>
    </row>
    <row r="39" spans="1:23" ht="54" customHeight="1" thickBot="1" x14ac:dyDescent="0.3">
      <c r="A39" s="7"/>
      <c r="B39" s="7"/>
      <c r="C39" s="7"/>
      <c r="F39" s="7"/>
      <c r="G39" s="7"/>
      <c r="H39" s="7"/>
      <c r="I39" s="7"/>
      <c r="J39" s="7"/>
      <c r="L39" s="7"/>
      <c r="M39" s="7"/>
      <c r="N39" s="7"/>
      <c r="O39" s="7"/>
      <c r="P39" s="7"/>
      <c r="R39" s="20"/>
      <c r="S39" s="25"/>
      <c r="T39" s="22"/>
      <c r="W39" t="s">
        <v>86</v>
      </c>
    </row>
    <row r="40" spans="1:23" ht="16.899999999999999" customHeight="1" thickTop="1" x14ac:dyDescent="0.25">
      <c r="A40" s="163" t="s">
        <v>18</v>
      </c>
      <c r="B40" s="163"/>
      <c r="C40" s="163"/>
      <c r="D40" s="4"/>
      <c r="E40" s="4"/>
      <c r="F40" s="163" t="s">
        <v>19</v>
      </c>
      <c r="G40" s="163"/>
      <c r="H40" s="37"/>
      <c r="I40" s="37"/>
      <c r="J40" s="37"/>
      <c r="K40" s="4"/>
      <c r="L40" s="163" t="s">
        <v>20</v>
      </c>
      <c r="M40" s="163"/>
      <c r="N40" s="163"/>
      <c r="O40" s="163"/>
      <c r="P40" s="163"/>
      <c r="W40" t="s">
        <v>87</v>
      </c>
    </row>
    <row r="41" spans="1:23" ht="8.25" customHeight="1" x14ac:dyDescent="0.25"/>
    <row r="42" spans="1:23" ht="36.75" customHeight="1" x14ac:dyDescent="0.25">
      <c r="A42" s="64"/>
      <c r="B42" s="64"/>
      <c r="C42" s="64"/>
      <c r="D42" s="65" t="s">
        <v>27</v>
      </c>
      <c r="E42" s="65"/>
      <c r="F42" s="65"/>
      <c r="G42" s="65"/>
      <c r="H42" s="65"/>
      <c r="I42" s="65"/>
      <c r="J42" s="65"/>
      <c r="K42" s="65"/>
      <c r="L42" s="65"/>
      <c r="M42" s="66" t="str">
        <f>M2</f>
        <v>FORM STR 03
REVISION NO 01</v>
      </c>
      <c r="N42" s="66"/>
      <c r="O42" s="66"/>
      <c r="P42" s="66"/>
      <c r="Q42" s="10"/>
      <c r="W42" t="s">
        <v>111</v>
      </c>
    </row>
    <row r="43" spans="1:23" ht="22.15" customHeight="1" x14ac:dyDescent="0.25">
      <c r="A43" s="64"/>
      <c r="B43" s="64"/>
      <c r="C43" s="64"/>
      <c r="D43" s="65"/>
      <c r="E43" s="65"/>
      <c r="F43" s="65"/>
      <c r="G43" s="65"/>
      <c r="H43" s="65"/>
      <c r="I43" s="65"/>
      <c r="J43" s="65"/>
      <c r="K43" s="65"/>
      <c r="L43" s="65"/>
      <c r="M43" s="66"/>
      <c r="N43" s="66"/>
      <c r="O43" s="66"/>
      <c r="P43" s="66"/>
      <c r="Q43" s="10"/>
    </row>
    <row r="44" spans="1:23" ht="17.45" customHeight="1" x14ac:dyDescent="0.25">
      <c r="A44" s="67"/>
      <c r="B44" s="67"/>
      <c r="C44" s="67"/>
      <c r="D44" s="68" t="s">
        <v>21</v>
      </c>
      <c r="E44" s="68"/>
      <c r="F44" s="68"/>
      <c r="G44" s="68"/>
      <c r="H44" s="68"/>
      <c r="I44" s="68"/>
      <c r="J44" s="68"/>
      <c r="K44" s="68"/>
      <c r="L44" s="68"/>
      <c r="M44" s="11"/>
    </row>
    <row r="45" spans="1:23" ht="22.15" customHeight="1" thickBot="1" x14ac:dyDescent="0.35">
      <c r="A45" s="69"/>
      <c r="B45" s="69"/>
      <c r="C45" s="1"/>
      <c r="D45" s="70" t="s">
        <v>90</v>
      </c>
      <c r="E45" s="70"/>
      <c r="F45" s="70"/>
      <c r="G45" s="70"/>
      <c r="H45" s="70"/>
      <c r="I45" s="70"/>
      <c r="J45" s="70"/>
      <c r="K45" s="70"/>
      <c r="L45" s="70"/>
      <c r="M45" s="2"/>
      <c r="N45" s="64"/>
      <c r="O45" s="64"/>
      <c r="P45" s="64"/>
    </row>
    <row r="46" spans="1:23" ht="15.6" customHeight="1" thickBot="1" x14ac:dyDescent="0.35">
      <c r="A46" s="98" t="s">
        <v>9</v>
      </c>
      <c r="B46" s="99"/>
      <c r="C46" s="100" t="str">
        <f>C6</f>
        <v>O538</v>
      </c>
      <c r="D46" s="100"/>
      <c r="E46" s="100"/>
      <c r="F46" s="101"/>
      <c r="G46" s="2"/>
      <c r="H46" s="102" t="s">
        <v>4</v>
      </c>
      <c r="I46" s="103"/>
      <c r="J46" s="103"/>
      <c r="K46" s="8" t="s">
        <v>7</v>
      </c>
      <c r="L46" s="104" t="str">
        <f>L6</f>
        <v>JP 523774</v>
      </c>
      <c r="M46" s="104"/>
      <c r="N46" s="104"/>
      <c r="O46" s="104"/>
      <c r="P46" s="105"/>
    </row>
    <row r="47" spans="1:23" ht="17.45" customHeight="1" x14ac:dyDescent="0.3">
      <c r="A47" s="18" t="s">
        <v>10</v>
      </c>
      <c r="B47" s="15"/>
      <c r="C47" s="15"/>
      <c r="D47" s="15"/>
      <c r="E47" s="15"/>
      <c r="F47" s="16"/>
      <c r="G47" s="2"/>
      <c r="H47" s="79" t="s">
        <v>5</v>
      </c>
      <c r="I47" s="80"/>
      <c r="J47" s="80"/>
      <c r="K47" s="9" t="s">
        <v>7</v>
      </c>
      <c r="L47" s="106">
        <f>L7</f>
        <v>45684</v>
      </c>
      <c r="M47" s="106"/>
      <c r="N47" s="106"/>
      <c r="O47" s="106"/>
      <c r="P47" s="107"/>
      <c r="R47" s="115"/>
      <c r="S47" s="115"/>
      <c r="T47" s="174"/>
      <c r="U47" s="26"/>
      <c r="V47" s="174"/>
    </row>
    <row r="48" spans="1:23" ht="18" customHeight="1" x14ac:dyDescent="0.3">
      <c r="A48" s="73" t="str">
        <f>A8</f>
        <v>Summit Alliance Port Limited (OCL).
Katghar, North Patenga, Chitagong.</v>
      </c>
      <c r="B48" s="74"/>
      <c r="C48" s="74"/>
      <c r="D48" s="74"/>
      <c r="E48" s="74"/>
      <c r="F48" s="75"/>
      <c r="G48" s="2"/>
      <c r="H48" s="79" t="s">
        <v>8</v>
      </c>
      <c r="I48" s="80"/>
      <c r="J48" s="80"/>
      <c r="K48" s="9" t="s">
        <v>7</v>
      </c>
      <c r="L48" s="81" t="str">
        <f>L8</f>
        <v>SEA</v>
      </c>
      <c r="M48" s="81"/>
      <c r="N48" s="81"/>
      <c r="O48" s="81"/>
      <c r="P48" s="82"/>
      <c r="R48" s="115"/>
      <c r="S48" s="115"/>
      <c r="T48" s="175"/>
      <c r="U48" s="26"/>
      <c r="V48" s="175"/>
    </row>
    <row r="49" spans="1:22" ht="17.45" customHeight="1" x14ac:dyDescent="0.3">
      <c r="A49" s="73"/>
      <c r="B49" s="74"/>
      <c r="C49" s="74"/>
      <c r="D49" s="74"/>
      <c r="E49" s="74"/>
      <c r="F49" s="75"/>
      <c r="G49" s="2"/>
      <c r="H49" s="83" t="s">
        <v>6</v>
      </c>
      <c r="I49" s="84"/>
      <c r="J49" s="84"/>
      <c r="K49" s="89" t="s">
        <v>7</v>
      </c>
      <c r="L49" s="92" t="str">
        <f>L9</f>
        <v>M/S. Kabir &amp; Co.
1104DT Road West Madarbari,
Chattogram, Bangladesh.</v>
      </c>
      <c r="M49" s="92"/>
      <c r="N49" s="92"/>
      <c r="O49" s="92"/>
      <c r="P49" s="93"/>
      <c r="R49" s="115"/>
      <c r="S49" s="115"/>
      <c r="T49" s="175"/>
      <c r="U49" s="26"/>
      <c r="V49" s="175"/>
    </row>
    <row r="50" spans="1:22" ht="18" thickBot="1" x14ac:dyDescent="0.35">
      <c r="A50" s="76"/>
      <c r="B50" s="77"/>
      <c r="C50" s="77"/>
      <c r="D50" s="77"/>
      <c r="E50" s="77"/>
      <c r="F50" s="78"/>
      <c r="G50" s="2"/>
      <c r="H50" s="85"/>
      <c r="I50" s="86"/>
      <c r="J50" s="86"/>
      <c r="K50" s="90"/>
      <c r="L50" s="94"/>
      <c r="M50" s="94"/>
      <c r="N50" s="94"/>
      <c r="O50" s="94"/>
      <c r="P50" s="95"/>
      <c r="R50" s="115"/>
      <c r="S50" s="115"/>
      <c r="T50" s="174"/>
      <c r="U50" s="26"/>
      <c r="V50" s="174"/>
    </row>
    <row r="51" spans="1:22" ht="18" customHeight="1" thickBot="1" x14ac:dyDescent="0.35">
      <c r="A51" s="69"/>
      <c r="B51" s="69"/>
      <c r="C51" s="1"/>
      <c r="D51" s="2"/>
      <c r="E51" s="2"/>
      <c r="F51" s="2"/>
      <c r="G51" s="2"/>
      <c r="H51" s="87"/>
      <c r="I51" s="88"/>
      <c r="J51" s="88"/>
      <c r="K51" s="91"/>
      <c r="L51" s="96"/>
      <c r="M51" s="96"/>
      <c r="N51" s="96"/>
      <c r="O51" s="96"/>
      <c r="P51" s="97"/>
      <c r="R51" s="115"/>
      <c r="S51" s="115"/>
      <c r="T51" s="174"/>
      <c r="U51" s="26"/>
      <c r="V51" s="175"/>
    </row>
    <row r="52" spans="1:22" ht="16.149999999999999" customHeight="1" x14ac:dyDescent="0.25">
      <c r="A52" s="130" t="s">
        <v>12</v>
      </c>
      <c r="B52" s="131"/>
      <c r="C52" s="132" t="s">
        <v>0</v>
      </c>
      <c r="D52" s="132"/>
      <c r="E52" s="132"/>
      <c r="F52" s="132"/>
      <c r="G52" s="132"/>
      <c r="H52" s="108" t="s">
        <v>1</v>
      </c>
      <c r="I52" s="109"/>
      <c r="J52" s="109"/>
      <c r="K52" s="109"/>
      <c r="L52" s="110"/>
      <c r="M52" s="111" t="s">
        <v>16</v>
      </c>
      <c r="N52" s="112"/>
      <c r="O52" s="113"/>
      <c r="P52" s="120" t="s">
        <v>3</v>
      </c>
      <c r="R52" s="115"/>
      <c r="S52" s="115"/>
      <c r="T52" s="174"/>
      <c r="U52" s="26"/>
      <c r="V52" s="175"/>
    </row>
    <row r="53" spans="1:22" ht="16.149999999999999" customHeight="1" x14ac:dyDescent="0.25">
      <c r="A53" s="3" t="s">
        <v>13</v>
      </c>
      <c r="B53" s="33">
        <f>B13</f>
        <v>0</v>
      </c>
      <c r="C53" s="123" t="str">
        <f>C13</f>
        <v>Delivery of Readymade Garments</v>
      </c>
      <c r="D53" s="123"/>
      <c r="E53" s="123"/>
      <c r="F53" s="123"/>
      <c r="G53" s="123"/>
      <c r="H53" s="124" t="s">
        <v>2</v>
      </c>
      <c r="I53" s="125"/>
      <c r="J53" s="126"/>
      <c r="K53" s="124" t="s">
        <v>15</v>
      </c>
      <c r="L53" s="126"/>
      <c r="M53" s="114"/>
      <c r="N53" s="115"/>
      <c r="O53" s="116"/>
      <c r="P53" s="121"/>
      <c r="R53" s="115"/>
      <c r="S53" s="115"/>
      <c r="T53" s="174"/>
      <c r="V53" s="174"/>
    </row>
    <row r="54" spans="1:22" ht="16.149999999999999" customHeight="1" thickBot="1" x14ac:dyDescent="0.3">
      <c r="A54" s="140" t="s">
        <v>11</v>
      </c>
      <c r="B54" s="141"/>
      <c r="C54" s="142" t="str">
        <f>C14</f>
        <v>H &amp; M</v>
      </c>
      <c r="D54" s="143"/>
      <c r="E54" s="144" t="s">
        <v>88</v>
      </c>
      <c r="F54" s="145"/>
      <c r="G54" s="141"/>
      <c r="H54" s="127"/>
      <c r="I54" s="128"/>
      <c r="J54" s="129"/>
      <c r="K54" s="127"/>
      <c r="L54" s="129"/>
      <c r="M54" s="117"/>
      <c r="N54" s="118"/>
      <c r="O54" s="119"/>
      <c r="P54" s="122"/>
      <c r="R54" s="115"/>
      <c r="S54" s="115"/>
      <c r="T54" s="174"/>
      <c r="V54" s="175"/>
    </row>
    <row r="55" spans="1:22" ht="25.15" customHeight="1" x14ac:dyDescent="0.25">
      <c r="A55" s="31">
        <f>A15</f>
        <v>0</v>
      </c>
      <c r="B55" s="146" t="str">
        <f>B15</f>
        <v>316252-5832</v>
      </c>
      <c r="C55" s="146"/>
      <c r="D55" s="146"/>
      <c r="E55" s="146"/>
      <c r="F55" s="146"/>
      <c r="G55" s="146"/>
      <c r="H55" s="147">
        <f>H15</f>
        <v>59</v>
      </c>
      <c r="I55" s="148"/>
      <c r="J55" s="149"/>
      <c r="K55" s="150">
        <f>K15</f>
        <v>4351</v>
      </c>
      <c r="L55" s="151"/>
      <c r="M55" s="133" t="str">
        <f>M15</f>
        <v>DE,BE</v>
      </c>
      <c r="N55" s="134"/>
      <c r="O55" s="135"/>
      <c r="P55" s="35">
        <f>P15</f>
        <v>0</v>
      </c>
      <c r="R55" s="115"/>
      <c r="S55" s="115"/>
      <c r="T55" s="174"/>
      <c r="V55" s="175"/>
    </row>
    <row r="56" spans="1:22" ht="25.15" customHeight="1" x14ac:dyDescent="0.25">
      <c r="A56" s="32">
        <f>A16</f>
        <v>0</v>
      </c>
      <c r="B56" s="136" t="str">
        <f>B16</f>
        <v>316249-5832</v>
      </c>
      <c r="C56" s="136"/>
      <c r="D56" s="136"/>
      <c r="E56" s="136"/>
      <c r="F56" s="136"/>
      <c r="G56" s="136"/>
      <c r="H56" s="137">
        <f>H16</f>
        <v>36</v>
      </c>
      <c r="I56" s="137"/>
      <c r="J56" s="137"/>
      <c r="K56" s="138">
        <f>K16</f>
        <v>2699</v>
      </c>
      <c r="L56" s="138"/>
      <c r="M56" s="139" t="str">
        <f t="shared" ref="M56:M74" si="0">M16</f>
        <v>DE</v>
      </c>
      <c r="N56" s="139"/>
      <c r="O56" s="139"/>
      <c r="P56" s="35">
        <f>P16</f>
        <v>0</v>
      </c>
      <c r="R56" s="115"/>
      <c r="S56" s="115"/>
      <c r="T56" s="94"/>
      <c r="V56" s="174"/>
    </row>
    <row r="57" spans="1:22" ht="25.15" customHeight="1" x14ac:dyDescent="0.25">
      <c r="A57" s="32">
        <f t="shared" ref="A57:B72" si="1">A17</f>
        <v>0</v>
      </c>
      <c r="B57" s="136">
        <f t="shared" si="1"/>
        <v>0</v>
      </c>
      <c r="C57" s="136"/>
      <c r="D57" s="136"/>
      <c r="E57" s="136"/>
      <c r="F57" s="136"/>
      <c r="G57" s="136"/>
      <c r="H57" s="137">
        <f>H17</f>
        <v>0</v>
      </c>
      <c r="I57" s="137"/>
      <c r="J57" s="137"/>
      <c r="K57" s="138">
        <f>K17</f>
        <v>0</v>
      </c>
      <c r="L57" s="138"/>
      <c r="M57" s="139">
        <f t="shared" si="0"/>
        <v>0</v>
      </c>
      <c r="N57" s="139"/>
      <c r="O57" s="139"/>
      <c r="P57" s="35">
        <f t="shared" ref="P57:P74" si="2">P17</f>
        <v>0</v>
      </c>
      <c r="R57" s="115"/>
      <c r="S57" s="115"/>
      <c r="T57" s="94"/>
      <c r="V57" s="175"/>
    </row>
    <row r="58" spans="1:22" ht="25.15" customHeight="1" x14ac:dyDescent="0.25">
      <c r="A58" s="32">
        <f t="shared" si="1"/>
        <v>0</v>
      </c>
      <c r="B58" s="136">
        <f t="shared" si="1"/>
        <v>0</v>
      </c>
      <c r="C58" s="136"/>
      <c r="D58" s="136"/>
      <c r="E58" s="136"/>
      <c r="F58" s="136"/>
      <c r="G58" s="136"/>
      <c r="H58" s="137">
        <f t="shared" ref="H58:H74" si="3">H18</f>
        <v>0</v>
      </c>
      <c r="I58" s="137"/>
      <c r="J58" s="137"/>
      <c r="K58" s="138">
        <f t="shared" ref="K58:K74" si="4">K18</f>
        <v>0</v>
      </c>
      <c r="L58" s="138"/>
      <c r="M58" s="139">
        <f t="shared" si="0"/>
        <v>0</v>
      </c>
      <c r="N58" s="139"/>
      <c r="O58" s="139"/>
      <c r="P58" s="35">
        <f t="shared" si="2"/>
        <v>0</v>
      </c>
      <c r="R58" s="115"/>
      <c r="S58" s="115"/>
      <c r="T58" s="94"/>
      <c r="V58" s="175"/>
    </row>
    <row r="59" spans="1:22" ht="25.15" customHeight="1" x14ac:dyDescent="0.25">
      <c r="A59" s="32">
        <f t="shared" si="1"/>
        <v>0</v>
      </c>
      <c r="B59" s="136">
        <f t="shared" si="1"/>
        <v>0</v>
      </c>
      <c r="C59" s="136"/>
      <c r="D59" s="136"/>
      <c r="E59" s="136"/>
      <c r="F59" s="136"/>
      <c r="G59" s="136"/>
      <c r="H59" s="137">
        <f t="shared" si="3"/>
        <v>0</v>
      </c>
      <c r="I59" s="137"/>
      <c r="J59" s="137"/>
      <c r="K59" s="138">
        <f t="shared" si="4"/>
        <v>0</v>
      </c>
      <c r="L59" s="138"/>
      <c r="M59" s="139">
        <f t="shared" si="0"/>
        <v>0</v>
      </c>
      <c r="N59" s="139"/>
      <c r="O59" s="139"/>
      <c r="P59" s="35">
        <f t="shared" si="2"/>
        <v>0</v>
      </c>
      <c r="R59" s="115"/>
      <c r="S59" s="115"/>
      <c r="T59" s="94"/>
      <c r="V59" s="174"/>
    </row>
    <row r="60" spans="1:22" ht="25.15" customHeight="1" x14ac:dyDescent="0.25">
      <c r="A60" s="32">
        <f t="shared" si="1"/>
        <v>0</v>
      </c>
      <c r="B60" s="136">
        <f t="shared" si="1"/>
        <v>0</v>
      </c>
      <c r="C60" s="136"/>
      <c r="D60" s="136"/>
      <c r="E60" s="136"/>
      <c r="F60" s="136"/>
      <c r="G60" s="136"/>
      <c r="H60" s="137">
        <f t="shared" si="3"/>
        <v>0</v>
      </c>
      <c r="I60" s="137"/>
      <c r="J60" s="137"/>
      <c r="K60" s="138">
        <f t="shared" si="4"/>
        <v>0</v>
      </c>
      <c r="L60" s="138"/>
      <c r="M60" s="139">
        <f t="shared" si="0"/>
        <v>0</v>
      </c>
      <c r="N60" s="139"/>
      <c r="O60" s="139"/>
      <c r="P60" s="35">
        <f t="shared" si="2"/>
        <v>0</v>
      </c>
      <c r="R60" s="115"/>
      <c r="S60" s="115"/>
      <c r="T60" s="94"/>
      <c r="V60" s="175"/>
    </row>
    <row r="61" spans="1:22" ht="25.15" customHeight="1" x14ac:dyDescent="0.25">
      <c r="A61" s="32">
        <f t="shared" si="1"/>
        <v>0</v>
      </c>
      <c r="B61" s="136">
        <f t="shared" si="1"/>
        <v>0</v>
      </c>
      <c r="C61" s="136"/>
      <c r="D61" s="136"/>
      <c r="E61" s="136"/>
      <c r="F61" s="136"/>
      <c r="G61" s="136"/>
      <c r="H61" s="137">
        <f t="shared" si="3"/>
        <v>0</v>
      </c>
      <c r="I61" s="137"/>
      <c r="J61" s="137"/>
      <c r="K61" s="138">
        <f t="shared" si="4"/>
        <v>0</v>
      </c>
      <c r="L61" s="138"/>
      <c r="M61" s="139">
        <f t="shared" si="0"/>
        <v>0</v>
      </c>
      <c r="N61" s="139"/>
      <c r="O61" s="139"/>
      <c r="P61" s="35">
        <f t="shared" si="2"/>
        <v>0</v>
      </c>
      <c r="R61" s="115"/>
      <c r="S61" s="115"/>
      <c r="T61" s="94"/>
      <c r="V61" s="175"/>
    </row>
    <row r="62" spans="1:22" ht="25.15" customHeight="1" x14ac:dyDescent="0.25">
      <c r="A62" s="32">
        <f t="shared" si="1"/>
        <v>0</v>
      </c>
      <c r="B62" s="136">
        <f t="shared" si="1"/>
        <v>0</v>
      </c>
      <c r="C62" s="136"/>
      <c r="D62" s="136"/>
      <c r="E62" s="136"/>
      <c r="F62" s="136"/>
      <c r="G62" s="136"/>
      <c r="H62" s="137">
        <f t="shared" si="3"/>
        <v>0</v>
      </c>
      <c r="I62" s="137"/>
      <c r="J62" s="137"/>
      <c r="K62" s="138">
        <f t="shared" si="4"/>
        <v>0</v>
      </c>
      <c r="L62" s="138"/>
      <c r="M62" s="139">
        <f t="shared" si="0"/>
        <v>0</v>
      </c>
      <c r="N62" s="139"/>
      <c r="O62" s="139"/>
      <c r="P62" s="35">
        <f t="shared" si="2"/>
        <v>0</v>
      </c>
      <c r="R62" s="115"/>
      <c r="S62" s="115"/>
      <c r="T62" s="94"/>
    </row>
    <row r="63" spans="1:22" ht="25.15" customHeight="1" x14ac:dyDescent="0.25">
      <c r="A63" s="32">
        <f t="shared" si="1"/>
        <v>0</v>
      </c>
      <c r="B63" s="136">
        <f t="shared" si="1"/>
        <v>0</v>
      </c>
      <c r="C63" s="136"/>
      <c r="D63" s="136"/>
      <c r="E63" s="136"/>
      <c r="F63" s="136"/>
      <c r="G63" s="136"/>
      <c r="H63" s="137">
        <f t="shared" si="3"/>
        <v>0</v>
      </c>
      <c r="I63" s="137"/>
      <c r="J63" s="137"/>
      <c r="K63" s="138">
        <f t="shared" si="4"/>
        <v>0</v>
      </c>
      <c r="L63" s="138"/>
      <c r="M63" s="139">
        <f t="shared" si="0"/>
        <v>0</v>
      </c>
      <c r="N63" s="139"/>
      <c r="O63" s="139"/>
      <c r="P63" s="35">
        <f t="shared" si="2"/>
        <v>0</v>
      </c>
      <c r="R63" s="115"/>
      <c r="S63" s="115"/>
      <c r="T63" s="94"/>
    </row>
    <row r="64" spans="1:22" ht="25.15" customHeight="1" x14ac:dyDescent="0.25">
      <c r="A64" s="32">
        <f t="shared" si="1"/>
        <v>0</v>
      </c>
      <c r="B64" s="136">
        <f t="shared" si="1"/>
        <v>0</v>
      </c>
      <c r="C64" s="136"/>
      <c r="D64" s="136"/>
      <c r="E64" s="136"/>
      <c r="F64" s="136"/>
      <c r="G64" s="136"/>
      <c r="H64" s="137">
        <f t="shared" si="3"/>
        <v>0</v>
      </c>
      <c r="I64" s="137"/>
      <c r="J64" s="137"/>
      <c r="K64" s="138">
        <f t="shared" si="4"/>
        <v>0</v>
      </c>
      <c r="L64" s="138"/>
      <c r="M64" s="139">
        <f t="shared" si="0"/>
        <v>0</v>
      </c>
      <c r="N64" s="139"/>
      <c r="O64" s="139"/>
      <c r="P64" s="35">
        <f t="shared" si="2"/>
        <v>0</v>
      </c>
      <c r="R64" s="115"/>
      <c r="S64" s="115"/>
      <c r="T64" s="94"/>
    </row>
    <row r="65" spans="1:20" ht="25.15" customHeight="1" x14ac:dyDescent="0.25">
      <c r="A65" s="32">
        <f t="shared" si="1"/>
        <v>0</v>
      </c>
      <c r="B65" s="136">
        <f t="shared" si="1"/>
        <v>0</v>
      </c>
      <c r="C65" s="136"/>
      <c r="D65" s="136"/>
      <c r="E65" s="136"/>
      <c r="F65" s="136"/>
      <c r="G65" s="136"/>
      <c r="H65" s="137">
        <f t="shared" si="3"/>
        <v>0</v>
      </c>
      <c r="I65" s="137"/>
      <c r="J65" s="137"/>
      <c r="K65" s="138">
        <f t="shared" si="4"/>
        <v>0</v>
      </c>
      <c r="L65" s="138"/>
      <c r="M65" s="139">
        <f t="shared" si="0"/>
        <v>0</v>
      </c>
      <c r="N65" s="139"/>
      <c r="O65" s="139"/>
      <c r="P65" s="35">
        <f t="shared" si="2"/>
        <v>0</v>
      </c>
      <c r="R65" s="115"/>
      <c r="S65" s="115"/>
      <c r="T65" s="94"/>
    </row>
    <row r="66" spans="1:20" ht="25.15" customHeight="1" x14ac:dyDescent="0.25">
      <c r="A66" s="32">
        <f t="shared" si="1"/>
        <v>0</v>
      </c>
      <c r="B66" s="136">
        <f t="shared" si="1"/>
        <v>0</v>
      </c>
      <c r="C66" s="136"/>
      <c r="D66" s="136"/>
      <c r="E66" s="136"/>
      <c r="F66" s="136"/>
      <c r="G66" s="136"/>
      <c r="H66" s="137">
        <f t="shared" si="3"/>
        <v>0</v>
      </c>
      <c r="I66" s="137"/>
      <c r="J66" s="137"/>
      <c r="K66" s="138">
        <f t="shared" si="4"/>
        <v>0</v>
      </c>
      <c r="L66" s="138"/>
      <c r="M66" s="139">
        <f t="shared" si="0"/>
        <v>0</v>
      </c>
      <c r="N66" s="139"/>
      <c r="O66" s="139"/>
      <c r="P66" s="35">
        <f t="shared" si="2"/>
        <v>0</v>
      </c>
      <c r="R66" s="115"/>
      <c r="S66" s="115"/>
      <c r="T66" s="94"/>
    </row>
    <row r="67" spans="1:20" ht="25.15" customHeight="1" x14ac:dyDescent="0.25">
      <c r="A67" s="32">
        <f t="shared" si="1"/>
        <v>0</v>
      </c>
      <c r="B67" s="136">
        <f t="shared" si="1"/>
        <v>0</v>
      </c>
      <c r="C67" s="136"/>
      <c r="D67" s="136"/>
      <c r="E67" s="136"/>
      <c r="F67" s="136"/>
      <c r="G67" s="136"/>
      <c r="H67" s="137">
        <f t="shared" si="3"/>
        <v>0</v>
      </c>
      <c r="I67" s="137"/>
      <c r="J67" s="137"/>
      <c r="K67" s="138">
        <f t="shared" si="4"/>
        <v>0</v>
      </c>
      <c r="L67" s="138"/>
      <c r="M67" s="139">
        <f t="shared" si="0"/>
        <v>0</v>
      </c>
      <c r="N67" s="139"/>
      <c r="O67" s="139"/>
      <c r="P67" s="35">
        <f t="shared" si="2"/>
        <v>0</v>
      </c>
      <c r="R67" s="115"/>
      <c r="S67" s="115"/>
      <c r="T67" s="94"/>
    </row>
    <row r="68" spans="1:20" ht="25.15" customHeight="1" x14ac:dyDescent="0.25">
      <c r="A68" s="32">
        <f t="shared" si="1"/>
        <v>0</v>
      </c>
      <c r="B68" s="136">
        <f t="shared" si="1"/>
        <v>0</v>
      </c>
      <c r="C68" s="136"/>
      <c r="D68" s="136"/>
      <c r="E68" s="136"/>
      <c r="F68" s="136"/>
      <c r="G68" s="136"/>
      <c r="H68" s="137">
        <f t="shared" si="3"/>
        <v>0</v>
      </c>
      <c r="I68" s="137"/>
      <c r="J68" s="137"/>
      <c r="K68" s="138">
        <f t="shared" si="4"/>
        <v>0</v>
      </c>
      <c r="L68" s="138"/>
      <c r="M68" s="139">
        <f t="shared" si="0"/>
        <v>0</v>
      </c>
      <c r="N68" s="139"/>
      <c r="O68" s="139"/>
      <c r="P68" s="35">
        <f t="shared" si="2"/>
        <v>0</v>
      </c>
      <c r="R68" s="115"/>
      <c r="S68" s="115"/>
      <c r="T68" s="94"/>
    </row>
    <row r="69" spans="1:20" ht="25.15" customHeight="1" x14ac:dyDescent="0.25">
      <c r="A69" s="32">
        <f t="shared" si="1"/>
        <v>0</v>
      </c>
      <c r="B69" s="136">
        <f t="shared" si="1"/>
        <v>0</v>
      </c>
      <c r="C69" s="136"/>
      <c r="D69" s="136"/>
      <c r="E69" s="136"/>
      <c r="F69" s="136"/>
      <c r="G69" s="136"/>
      <c r="H69" s="137">
        <f t="shared" si="3"/>
        <v>0</v>
      </c>
      <c r="I69" s="137"/>
      <c r="J69" s="137"/>
      <c r="K69" s="138">
        <f t="shared" si="4"/>
        <v>0</v>
      </c>
      <c r="L69" s="138"/>
      <c r="M69" s="139">
        <f t="shared" si="0"/>
        <v>0</v>
      </c>
      <c r="N69" s="139"/>
      <c r="O69" s="139"/>
      <c r="P69" s="35">
        <f t="shared" si="2"/>
        <v>0</v>
      </c>
      <c r="R69" s="115"/>
      <c r="S69" s="115"/>
      <c r="T69" s="94"/>
    </row>
    <row r="70" spans="1:20" ht="25.15" customHeight="1" x14ac:dyDescent="0.25">
      <c r="A70" s="32">
        <f t="shared" si="1"/>
        <v>0</v>
      </c>
      <c r="B70" s="136">
        <f t="shared" si="1"/>
        <v>0</v>
      </c>
      <c r="C70" s="136"/>
      <c r="D70" s="136"/>
      <c r="E70" s="136"/>
      <c r="F70" s="136"/>
      <c r="G70" s="136"/>
      <c r="H70" s="137">
        <f t="shared" si="3"/>
        <v>0</v>
      </c>
      <c r="I70" s="137"/>
      <c r="J70" s="137"/>
      <c r="K70" s="138">
        <f t="shared" si="4"/>
        <v>0</v>
      </c>
      <c r="L70" s="138"/>
      <c r="M70" s="139">
        <f t="shared" si="0"/>
        <v>0</v>
      </c>
      <c r="N70" s="139"/>
      <c r="O70" s="139"/>
      <c r="P70" s="35">
        <f t="shared" si="2"/>
        <v>0</v>
      </c>
      <c r="R70" s="115"/>
      <c r="S70" s="115"/>
      <c r="T70" s="94"/>
    </row>
    <row r="71" spans="1:20" ht="25.15" customHeight="1" x14ac:dyDescent="0.25">
      <c r="A71" s="32">
        <f t="shared" si="1"/>
        <v>0</v>
      </c>
      <c r="B71" s="136">
        <f t="shared" si="1"/>
        <v>0</v>
      </c>
      <c r="C71" s="136"/>
      <c r="D71" s="136"/>
      <c r="E71" s="136"/>
      <c r="F71" s="136"/>
      <c r="G71" s="136"/>
      <c r="H71" s="137">
        <f t="shared" si="3"/>
        <v>0</v>
      </c>
      <c r="I71" s="137"/>
      <c r="J71" s="137"/>
      <c r="K71" s="138">
        <f t="shared" si="4"/>
        <v>0</v>
      </c>
      <c r="L71" s="138"/>
      <c r="M71" s="139">
        <f t="shared" si="0"/>
        <v>0</v>
      </c>
      <c r="N71" s="139"/>
      <c r="O71" s="139"/>
      <c r="P71" s="35">
        <f t="shared" si="2"/>
        <v>0</v>
      </c>
      <c r="R71" s="27"/>
      <c r="S71" s="27"/>
      <c r="T71" s="27"/>
    </row>
    <row r="72" spans="1:20" ht="25.15" customHeight="1" x14ac:dyDescent="0.25">
      <c r="A72" s="32">
        <f t="shared" si="1"/>
        <v>0</v>
      </c>
      <c r="B72" s="136">
        <f t="shared" si="1"/>
        <v>0</v>
      </c>
      <c r="C72" s="136"/>
      <c r="D72" s="136"/>
      <c r="E72" s="136"/>
      <c r="F72" s="136"/>
      <c r="G72" s="136"/>
      <c r="H72" s="137">
        <f t="shared" si="3"/>
        <v>0</v>
      </c>
      <c r="I72" s="137"/>
      <c r="J72" s="137"/>
      <c r="K72" s="138">
        <f t="shared" si="4"/>
        <v>0</v>
      </c>
      <c r="L72" s="138"/>
      <c r="M72" s="139">
        <f t="shared" si="0"/>
        <v>0</v>
      </c>
      <c r="N72" s="139"/>
      <c r="O72" s="139"/>
      <c r="P72" s="35">
        <f t="shared" si="2"/>
        <v>0</v>
      </c>
    </row>
    <row r="73" spans="1:20" ht="25.15" customHeight="1" x14ac:dyDescent="0.25">
      <c r="A73" s="32">
        <f t="shared" ref="A73:B74" si="5">A33</f>
        <v>0</v>
      </c>
      <c r="B73" s="136">
        <f t="shared" si="5"/>
        <v>0</v>
      </c>
      <c r="C73" s="136"/>
      <c r="D73" s="136"/>
      <c r="E73" s="136"/>
      <c r="F73" s="136"/>
      <c r="G73" s="136"/>
      <c r="H73" s="137">
        <f t="shared" si="3"/>
        <v>0</v>
      </c>
      <c r="I73" s="137"/>
      <c r="J73" s="137"/>
      <c r="K73" s="138">
        <f t="shared" si="4"/>
        <v>0</v>
      </c>
      <c r="L73" s="138"/>
      <c r="M73" s="139">
        <f t="shared" si="0"/>
        <v>0</v>
      </c>
      <c r="N73" s="139"/>
      <c r="O73" s="139"/>
      <c r="P73" s="35">
        <f t="shared" si="2"/>
        <v>0</v>
      </c>
    </row>
    <row r="74" spans="1:20" ht="25.15" customHeight="1" x14ac:dyDescent="0.25">
      <c r="A74" s="32">
        <f t="shared" si="5"/>
        <v>0</v>
      </c>
      <c r="B74" s="136">
        <f t="shared" si="5"/>
        <v>0</v>
      </c>
      <c r="C74" s="136"/>
      <c r="D74" s="136"/>
      <c r="E74" s="136"/>
      <c r="F74" s="136"/>
      <c r="G74" s="136"/>
      <c r="H74" s="137">
        <f t="shared" si="3"/>
        <v>0</v>
      </c>
      <c r="I74" s="137"/>
      <c r="J74" s="137"/>
      <c r="K74" s="138">
        <f t="shared" si="4"/>
        <v>0</v>
      </c>
      <c r="L74" s="138"/>
      <c r="M74" s="139">
        <f t="shared" si="0"/>
        <v>0</v>
      </c>
      <c r="N74" s="139"/>
      <c r="O74" s="139"/>
      <c r="P74" s="35">
        <f t="shared" si="2"/>
        <v>0</v>
      </c>
    </row>
    <row r="75" spans="1:20" ht="21.95" customHeight="1" thickBot="1" x14ac:dyDescent="0.3">
      <c r="A75" s="153" t="s">
        <v>17</v>
      </c>
      <c r="B75" s="154"/>
      <c r="C75" s="154"/>
      <c r="D75" s="154"/>
      <c r="E75" s="154"/>
      <c r="F75" s="154"/>
      <c r="G75" s="143"/>
      <c r="H75" s="155">
        <f>SUM(H55:J74)</f>
        <v>95</v>
      </c>
      <c r="I75" s="156"/>
      <c r="J75" s="157"/>
      <c r="K75" s="158">
        <f>SUM(K55:L74)</f>
        <v>7050</v>
      </c>
      <c r="L75" s="159"/>
      <c r="M75" s="160"/>
      <c r="N75" s="161"/>
      <c r="O75" s="162"/>
      <c r="P75" s="19"/>
    </row>
    <row r="77" spans="1:20" ht="31.9" customHeight="1" x14ac:dyDescent="0.25">
      <c r="A77" s="164" t="s">
        <v>22</v>
      </c>
      <c r="B77" s="165"/>
      <c r="C77" s="165"/>
      <c r="D77" s="166" t="str">
        <f>D37</f>
        <v>MD.RANA</v>
      </c>
      <c r="E77" s="166"/>
      <c r="F77" s="166"/>
      <c r="G77" s="165" t="s">
        <v>23</v>
      </c>
      <c r="H77" s="165"/>
      <c r="I77" s="165"/>
      <c r="J77" s="165"/>
      <c r="K77" s="165"/>
      <c r="L77" s="165"/>
      <c r="M77" s="167" t="str">
        <f>M37</f>
        <v>01716-158891</v>
      </c>
      <c r="N77" s="167"/>
      <c r="O77" s="167"/>
      <c r="P77" s="168"/>
    </row>
    <row r="78" spans="1:20" ht="31.9" customHeight="1" x14ac:dyDescent="0.25">
      <c r="A78" s="169" t="s">
        <v>24</v>
      </c>
      <c r="B78" s="170"/>
      <c r="C78" s="170"/>
      <c r="D78" s="171" t="str">
        <f>D38</f>
        <v>OOOO1</v>
      </c>
      <c r="E78" s="171"/>
      <c r="F78" s="171"/>
      <c r="G78" s="170" t="s">
        <v>25</v>
      </c>
      <c r="H78" s="170"/>
      <c r="I78" s="170"/>
      <c r="J78" s="170"/>
      <c r="K78" s="170"/>
      <c r="L78" s="170"/>
      <c r="M78" s="172" t="str">
        <f>M38</f>
        <v>D.M.AO 11-5177</v>
      </c>
      <c r="N78" s="172"/>
      <c r="O78" s="172"/>
      <c r="P78" s="173"/>
    </row>
    <row r="79" spans="1:20" ht="54" customHeight="1" thickBot="1" x14ac:dyDescent="0.3">
      <c r="A79" s="5"/>
      <c r="B79" s="5"/>
      <c r="C79" s="5"/>
      <c r="F79" s="5"/>
      <c r="G79" s="5"/>
      <c r="H79" s="7"/>
      <c r="I79" s="7"/>
      <c r="J79" s="7"/>
      <c r="M79" s="5"/>
      <c r="N79" s="5"/>
      <c r="O79" s="5"/>
      <c r="P79" s="5"/>
    </row>
    <row r="80" spans="1:20" ht="16.899999999999999" customHeight="1" thickTop="1" x14ac:dyDescent="0.25">
      <c r="A80" s="163" t="s">
        <v>18</v>
      </c>
      <c r="B80" s="163"/>
      <c r="C80" s="163"/>
      <c r="D80" s="4"/>
      <c r="E80" s="4"/>
      <c r="F80" s="163" t="s">
        <v>19</v>
      </c>
      <c r="G80" s="163"/>
      <c r="H80" s="37"/>
      <c r="I80" s="37"/>
      <c r="J80" s="37"/>
      <c r="K80" s="4"/>
      <c r="L80" s="163" t="s">
        <v>20</v>
      </c>
      <c r="M80" s="163"/>
      <c r="N80" s="163"/>
      <c r="O80" s="163"/>
      <c r="P80" s="163"/>
    </row>
    <row r="81" spans="1:22" ht="8.25" customHeight="1" x14ac:dyDescent="0.25"/>
    <row r="82" spans="1:22" ht="36.75" customHeight="1" x14ac:dyDescent="0.25">
      <c r="A82" s="64"/>
      <c r="B82" s="64"/>
      <c r="C82" s="64"/>
      <c r="D82" s="65" t="s">
        <v>27</v>
      </c>
      <c r="E82" s="65"/>
      <c r="F82" s="65"/>
      <c r="G82" s="65"/>
      <c r="H82" s="65"/>
      <c r="I82" s="65"/>
      <c r="J82" s="65"/>
      <c r="K82" s="65"/>
      <c r="L82" s="65"/>
      <c r="M82" s="66" t="str">
        <f>M42</f>
        <v>FORM STR 03
REVISION NO 01</v>
      </c>
      <c r="N82" s="66"/>
      <c r="O82" s="66"/>
      <c r="P82" s="66"/>
      <c r="Q82" s="10"/>
    </row>
    <row r="83" spans="1:22" ht="22.15" customHeight="1" x14ac:dyDescent="0.25">
      <c r="A83" s="64"/>
      <c r="B83" s="64"/>
      <c r="C83" s="64"/>
      <c r="D83" s="65"/>
      <c r="E83" s="65"/>
      <c r="F83" s="65"/>
      <c r="G83" s="65"/>
      <c r="H83" s="65"/>
      <c r="I83" s="65"/>
      <c r="J83" s="65"/>
      <c r="K83" s="65"/>
      <c r="L83" s="65"/>
      <c r="M83" s="66"/>
      <c r="N83" s="66"/>
      <c r="O83" s="66"/>
      <c r="P83" s="66"/>
      <c r="Q83" s="10"/>
    </row>
    <row r="84" spans="1:22" ht="17.45" customHeight="1" x14ac:dyDescent="0.25">
      <c r="A84" s="67"/>
      <c r="B84" s="67"/>
      <c r="C84" s="67"/>
      <c r="D84" s="68" t="s">
        <v>21</v>
      </c>
      <c r="E84" s="68"/>
      <c r="F84" s="68"/>
      <c r="G84" s="68"/>
      <c r="H84" s="68"/>
      <c r="I84" s="68"/>
      <c r="J84" s="68"/>
      <c r="K84" s="68"/>
      <c r="L84" s="68"/>
      <c r="M84" s="11"/>
    </row>
    <row r="85" spans="1:22" ht="22.15" customHeight="1" thickBot="1" x14ac:dyDescent="0.35">
      <c r="A85" s="69"/>
      <c r="B85" s="69"/>
      <c r="C85" s="1"/>
      <c r="D85" s="70" t="s">
        <v>91</v>
      </c>
      <c r="E85" s="70"/>
      <c r="F85" s="70"/>
      <c r="G85" s="70"/>
      <c r="H85" s="70"/>
      <c r="I85" s="70"/>
      <c r="J85" s="70"/>
      <c r="K85" s="70"/>
      <c r="L85" s="70"/>
      <c r="M85" s="2"/>
      <c r="N85" s="64"/>
      <c r="O85" s="64"/>
      <c r="P85" s="64"/>
    </row>
    <row r="86" spans="1:22" ht="15.6" customHeight="1" thickBot="1" x14ac:dyDescent="0.35">
      <c r="A86" s="98" t="s">
        <v>9</v>
      </c>
      <c r="B86" s="99"/>
      <c r="C86" s="100" t="str">
        <f>C46</f>
        <v>O538</v>
      </c>
      <c r="D86" s="100"/>
      <c r="E86" s="100"/>
      <c r="F86" s="101"/>
      <c r="G86" s="2"/>
      <c r="H86" s="102" t="s">
        <v>4</v>
      </c>
      <c r="I86" s="103"/>
      <c r="J86" s="103"/>
      <c r="K86" s="8" t="s">
        <v>7</v>
      </c>
      <c r="L86" s="104" t="str">
        <f>L46</f>
        <v>JP 523774</v>
      </c>
      <c r="M86" s="104"/>
      <c r="N86" s="104"/>
      <c r="O86" s="104"/>
      <c r="P86" s="105"/>
    </row>
    <row r="87" spans="1:22" ht="17.45" customHeight="1" x14ac:dyDescent="0.3">
      <c r="A87" s="18" t="s">
        <v>10</v>
      </c>
      <c r="B87" s="15"/>
      <c r="C87" s="15"/>
      <c r="D87" s="15"/>
      <c r="E87" s="15"/>
      <c r="F87" s="16"/>
      <c r="G87" s="2"/>
      <c r="H87" s="79" t="s">
        <v>5</v>
      </c>
      <c r="I87" s="80"/>
      <c r="J87" s="80"/>
      <c r="K87" s="9" t="s">
        <v>7</v>
      </c>
      <c r="L87" s="106">
        <f>L47</f>
        <v>45684</v>
      </c>
      <c r="M87" s="106"/>
      <c r="N87" s="106"/>
      <c r="O87" s="106"/>
      <c r="P87" s="107"/>
      <c r="R87" s="115"/>
      <c r="S87" s="115"/>
      <c r="T87" s="174"/>
      <c r="U87" s="26"/>
      <c r="V87" s="174"/>
    </row>
    <row r="88" spans="1:22" ht="18" customHeight="1" x14ac:dyDescent="0.3">
      <c r="A88" s="73" t="str">
        <f>A48</f>
        <v>Summit Alliance Port Limited (OCL).
Katghar, North Patenga, Chitagong.</v>
      </c>
      <c r="B88" s="74"/>
      <c r="C88" s="74"/>
      <c r="D88" s="74"/>
      <c r="E88" s="74"/>
      <c r="F88" s="75"/>
      <c r="G88" s="2"/>
      <c r="H88" s="79" t="s">
        <v>8</v>
      </c>
      <c r="I88" s="80"/>
      <c r="J88" s="80"/>
      <c r="K88" s="9" t="s">
        <v>7</v>
      </c>
      <c r="L88" s="81" t="str">
        <f>L48</f>
        <v>SEA</v>
      </c>
      <c r="M88" s="81"/>
      <c r="N88" s="81"/>
      <c r="O88" s="81"/>
      <c r="P88" s="82"/>
      <c r="R88" s="115"/>
      <c r="S88" s="115"/>
      <c r="T88" s="175"/>
      <c r="U88" s="26"/>
      <c r="V88" s="175"/>
    </row>
    <row r="89" spans="1:22" ht="17.45" customHeight="1" x14ac:dyDescent="0.3">
      <c r="A89" s="73"/>
      <c r="B89" s="74"/>
      <c r="C89" s="74"/>
      <c r="D89" s="74"/>
      <c r="E89" s="74"/>
      <c r="F89" s="75"/>
      <c r="G89" s="2"/>
      <c r="H89" s="83" t="s">
        <v>6</v>
      </c>
      <c r="I89" s="84"/>
      <c r="J89" s="84"/>
      <c r="K89" s="89" t="s">
        <v>7</v>
      </c>
      <c r="L89" s="92" t="str">
        <f>L49</f>
        <v>M/S. Kabir &amp; Co.
1104DT Road West Madarbari,
Chattogram, Bangladesh.</v>
      </c>
      <c r="M89" s="92"/>
      <c r="N89" s="92"/>
      <c r="O89" s="92"/>
      <c r="P89" s="93"/>
      <c r="R89" s="115"/>
      <c r="S89" s="115"/>
      <c r="T89" s="175"/>
      <c r="U89" s="26"/>
      <c r="V89" s="175"/>
    </row>
    <row r="90" spans="1:22" ht="18" thickBot="1" x14ac:dyDescent="0.35">
      <c r="A90" s="76"/>
      <c r="B90" s="77"/>
      <c r="C90" s="77"/>
      <c r="D90" s="77"/>
      <c r="E90" s="77"/>
      <c r="F90" s="78"/>
      <c r="G90" s="2"/>
      <c r="H90" s="85"/>
      <c r="I90" s="86"/>
      <c r="J90" s="86"/>
      <c r="K90" s="90"/>
      <c r="L90" s="94"/>
      <c r="M90" s="94"/>
      <c r="N90" s="94"/>
      <c r="O90" s="94"/>
      <c r="P90" s="95"/>
      <c r="R90" s="115"/>
      <c r="S90" s="115"/>
      <c r="T90" s="174"/>
      <c r="U90" s="26"/>
      <c r="V90" s="174"/>
    </row>
    <row r="91" spans="1:22" ht="18" customHeight="1" thickBot="1" x14ac:dyDescent="0.35">
      <c r="A91" s="69"/>
      <c r="B91" s="69"/>
      <c r="C91" s="1"/>
      <c r="D91" s="2"/>
      <c r="E91" s="2"/>
      <c r="F91" s="2"/>
      <c r="G91" s="2"/>
      <c r="H91" s="87"/>
      <c r="I91" s="88"/>
      <c r="J91" s="88"/>
      <c r="K91" s="91"/>
      <c r="L91" s="96"/>
      <c r="M91" s="96"/>
      <c r="N91" s="96"/>
      <c r="O91" s="96"/>
      <c r="P91" s="97"/>
      <c r="R91" s="115"/>
      <c r="S91" s="115"/>
      <c r="T91" s="174"/>
      <c r="U91" s="26"/>
      <c r="V91" s="175"/>
    </row>
    <row r="92" spans="1:22" ht="16.149999999999999" customHeight="1" x14ac:dyDescent="0.25">
      <c r="A92" s="130" t="s">
        <v>12</v>
      </c>
      <c r="B92" s="131"/>
      <c r="C92" s="132" t="s">
        <v>0</v>
      </c>
      <c r="D92" s="132"/>
      <c r="E92" s="132"/>
      <c r="F92" s="132"/>
      <c r="G92" s="132"/>
      <c r="H92" s="108" t="s">
        <v>1</v>
      </c>
      <c r="I92" s="109"/>
      <c r="J92" s="109"/>
      <c r="K92" s="109"/>
      <c r="L92" s="110"/>
      <c r="M92" s="111" t="s">
        <v>16</v>
      </c>
      <c r="N92" s="112"/>
      <c r="O92" s="113"/>
      <c r="P92" s="120" t="s">
        <v>3</v>
      </c>
      <c r="R92" s="115"/>
      <c r="S92" s="115"/>
      <c r="T92" s="174"/>
      <c r="U92" s="26"/>
      <c r="V92" s="175"/>
    </row>
    <row r="93" spans="1:22" ht="16.149999999999999" customHeight="1" x14ac:dyDescent="0.25">
      <c r="A93" s="3" t="s">
        <v>13</v>
      </c>
      <c r="B93" s="33">
        <f>B53</f>
        <v>0</v>
      </c>
      <c r="C93" s="123" t="str">
        <f>C53</f>
        <v>Delivery of Readymade Garments</v>
      </c>
      <c r="D93" s="123"/>
      <c r="E93" s="123"/>
      <c r="F93" s="123"/>
      <c r="G93" s="123"/>
      <c r="H93" s="124" t="s">
        <v>2</v>
      </c>
      <c r="I93" s="125"/>
      <c r="J93" s="126"/>
      <c r="K93" s="124" t="s">
        <v>15</v>
      </c>
      <c r="L93" s="126"/>
      <c r="M93" s="114"/>
      <c r="N93" s="115"/>
      <c r="O93" s="116"/>
      <c r="P93" s="121"/>
      <c r="R93" s="115"/>
      <c r="S93" s="115"/>
      <c r="T93" s="174"/>
      <c r="V93" s="174"/>
    </row>
    <row r="94" spans="1:22" ht="16.149999999999999" customHeight="1" thickBot="1" x14ac:dyDescent="0.3">
      <c r="A94" s="140" t="s">
        <v>11</v>
      </c>
      <c r="B94" s="141"/>
      <c r="C94" s="142" t="str">
        <f>C54</f>
        <v>H &amp; M</v>
      </c>
      <c r="D94" s="143"/>
      <c r="E94" s="144" t="s">
        <v>88</v>
      </c>
      <c r="F94" s="145"/>
      <c r="G94" s="141"/>
      <c r="H94" s="127"/>
      <c r="I94" s="128"/>
      <c r="J94" s="129"/>
      <c r="K94" s="127"/>
      <c r="L94" s="129"/>
      <c r="M94" s="117"/>
      <c r="N94" s="118"/>
      <c r="O94" s="119"/>
      <c r="P94" s="122"/>
      <c r="R94" s="115"/>
      <c r="S94" s="115"/>
      <c r="T94" s="174"/>
      <c r="V94" s="175"/>
    </row>
    <row r="95" spans="1:22" ht="25.15" customHeight="1" x14ac:dyDescent="0.25">
      <c r="A95" s="31">
        <f>A55</f>
        <v>0</v>
      </c>
      <c r="B95" s="146" t="str">
        <f>B55</f>
        <v>316252-5832</v>
      </c>
      <c r="C95" s="146"/>
      <c r="D95" s="146"/>
      <c r="E95" s="146"/>
      <c r="F95" s="146"/>
      <c r="G95" s="146"/>
      <c r="H95" s="147">
        <f>H55</f>
        <v>59</v>
      </c>
      <c r="I95" s="148"/>
      <c r="J95" s="149"/>
      <c r="K95" s="150">
        <f>K55</f>
        <v>4351</v>
      </c>
      <c r="L95" s="151"/>
      <c r="M95" s="133" t="str">
        <f>M55</f>
        <v>DE,BE</v>
      </c>
      <c r="N95" s="134"/>
      <c r="O95" s="135"/>
      <c r="P95" s="34">
        <f>P55</f>
        <v>0</v>
      </c>
      <c r="R95" s="115"/>
      <c r="S95" s="115"/>
      <c r="T95" s="174"/>
      <c r="V95" s="175"/>
    </row>
    <row r="96" spans="1:22" ht="25.15" customHeight="1" x14ac:dyDescent="0.25">
      <c r="A96" s="32">
        <f>A56</f>
        <v>0</v>
      </c>
      <c r="B96" s="136" t="str">
        <f>B56</f>
        <v>316249-5832</v>
      </c>
      <c r="C96" s="136"/>
      <c r="D96" s="136"/>
      <c r="E96" s="136"/>
      <c r="F96" s="136"/>
      <c r="G96" s="136"/>
      <c r="H96" s="137">
        <f>H56</f>
        <v>36</v>
      </c>
      <c r="I96" s="137"/>
      <c r="J96" s="137"/>
      <c r="K96" s="138">
        <f>K56</f>
        <v>2699</v>
      </c>
      <c r="L96" s="138"/>
      <c r="M96" s="139" t="str">
        <f>M56</f>
        <v>DE</v>
      </c>
      <c r="N96" s="139"/>
      <c r="O96" s="139"/>
      <c r="P96" s="35">
        <f>P56</f>
        <v>0</v>
      </c>
      <c r="R96" s="115"/>
      <c r="S96" s="115"/>
      <c r="T96" s="94"/>
      <c r="V96" s="174"/>
    </row>
    <row r="97" spans="1:22" ht="25.15" customHeight="1" x14ac:dyDescent="0.25">
      <c r="A97" s="32">
        <f t="shared" ref="A97:B112" si="6">A57</f>
        <v>0</v>
      </c>
      <c r="B97" s="136">
        <f t="shared" si="6"/>
        <v>0</v>
      </c>
      <c r="C97" s="136"/>
      <c r="D97" s="136"/>
      <c r="E97" s="136"/>
      <c r="F97" s="136"/>
      <c r="G97" s="136"/>
      <c r="H97" s="137">
        <f>H57</f>
        <v>0</v>
      </c>
      <c r="I97" s="137"/>
      <c r="J97" s="137"/>
      <c r="K97" s="138">
        <f>K57</f>
        <v>0</v>
      </c>
      <c r="L97" s="138"/>
      <c r="M97" s="139">
        <f t="shared" ref="M97:M114" si="7">M57</f>
        <v>0</v>
      </c>
      <c r="N97" s="139"/>
      <c r="O97" s="139"/>
      <c r="P97" s="35">
        <f t="shared" ref="P97:P114" si="8">P57</f>
        <v>0</v>
      </c>
      <c r="R97" s="115"/>
      <c r="S97" s="115"/>
      <c r="T97" s="94"/>
      <c r="V97" s="175"/>
    </row>
    <row r="98" spans="1:22" ht="25.15" customHeight="1" x14ac:dyDescent="0.25">
      <c r="A98" s="32">
        <f t="shared" si="6"/>
        <v>0</v>
      </c>
      <c r="B98" s="136">
        <f t="shared" si="6"/>
        <v>0</v>
      </c>
      <c r="C98" s="136"/>
      <c r="D98" s="136"/>
      <c r="E98" s="136"/>
      <c r="F98" s="136"/>
      <c r="G98" s="136"/>
      <c r="H98" s="137">
        <f t="shared" ref="H98:H114" si="9">H58</f>
        <v>0</v>
      </c>
      <c r="I98" s="137"/>
      <c r="J98" s="137"/>
      <c r="K98" s="138">
        <f t="shared" ref="K98:K114" si="10">K58</f>
        <v>0</v>
      </c>
      <c r="L98" s="138"/>
      <c r="M98" s="139">
        <f t="shared" si="7"/>
        <v>0</v>
      </c>
      <c r="N98" s="139"/>
      <c r="O98" s="139"/>
      <c r="P98" s="35">
        <f t="shared" si="8"/>
        <v>0</v>
      </c>
      <c r="R98" s="115"/>
      <c r="S98" s="115"/>
      <c r="T98" s="94"/>
      <c r="V98" s="175"/>
    </row>
    <row r="99" spans="1:22" ht="25.15" customHeight="1" x14ac:dyDescent="0.25">
      <c r="A99" s="32">
        <f t="shared" si="6"/>
        <v>0</v>
      </c>
      <c r="B99" s="136">
        <f t="shared" si="6"/>
        <v>0</v>
      </c>
      <c r="C99" s="136"/>
      <c r="D99" s="136"/>
      <c r="E99" s="136"/>
      <c r="F99" s="136"/>
      <c r="G99" s="136"/>
      <c r="H99" s="137">
        <f t="shared" si="9"/>
        <v>0</v>
      </c>
      <c r="I99" s="137"/>
      <c r="J99" s="137"/>
      <c r="K99" s="138">
        <f t="shared" si="10"/>
        <v>0</v>
      </c>
      <c r="L99" s="138"/>
      <c r="M99" s="139">
        <f t="shared" si="7"/>
        <v>0</v>
      </c>
      <c r="N99" s="139"/>
      <c r="O99" s="139"/>
      <c r="P99" s="35">
        <f t="shared" si="8"/>
        <v>0</v>
      </c>
      <c r="R99" s="115"/>
      <c r="S99" s="115"/>
      <c r="T99" s="94"/>
      <c r="V99" s="174"/>
    </row>
    <row r="100" spans="1:22" ht="25.15" customHeight="1" x14ac:dyDescent="0.25">
      <c r="A100" s="32">
        <f t="shared" si="6"/>
        <v>0</v>
      </c>
      <c r="B100" s="136">
        <f t="shared" si="6"/>
        <v>0</v>
      </c>
      <c r="C100" s="136"/>
      <c r="D100" s="136"/>
      <c r="E100" s="136"/>
      <c r="F100" s="136"/>
      <c r="G100" s="136"/>
      <c r="H100" s="137">
        <f t="shared" si="9"/>
        <v>0</v>
      </c>
      <c r="I100" s="137"/>
      <c r="J100" s="137"/>
      <c r="K100" s="138">
        <f t="shared" si="10"/>
        <v>0</v>
      </c>
      <c r="L100" s="138"/>
      <c r="M100" s="139">
        <f t="shared" si="7"/>
        <v>0</v>
      </c>
      <c r="N100" s="139"/>
      <c r="O100" s="139"/>
      <c r="P100" s="35">
        <f t="shared" si="8"/>
        <v>0</v>
      </c>
      <c r="R100" s="115"/>
      <c r="S100" s="115"/>
      <c r="T100" s="94"/>
      <c r="V100" s="175"/>
    </row>
    <row r="101" spans="1:22" ht="25.15" customHeight="1" x14ac:dyDescent="0.25">
      <c r="A101" s="32">
        <f t="shared" si="6"/>
        <v>0</v>
      </c>
      <c r="B101" s="136">
        <f t="shared" si="6"/>
        <v>0</v>
      </c>
      <c r="C101" s="136"/>
      <c r="D101" s="136"/>
      <c r="E101" s="136"/>
      <c r="F101" s="136"/>
      <c r="G101" s="136"/>
      <c r="H101" s="137">
        <f t="shared" si="9"/>
        <v>0</v>
      </c>
      <c r="I101" s="137"/>
      <c r="J101" s="137"/>
      <c r="K101" s="138">
        <f t="shared" si="10"/>
        <v>0</v>
      </c>
      <c r="L101" s="138"/>
      <c r="M101" s="139">
        <f t="shared" si="7"/>
        <v>0</v>
      </c>
      <c r="N101" s="139"/>
      <c r="O101" s="139"/>
      <c r="P101" s="35">
        <f t="shared" si="8"/>
        <v>0</v>
      </c>
      <c r="R101" s="115"/>
      <c r="S101" s="115"/>
      <c r="T101" s="94"/>
      <c r="V101" s="175"/>
    </row>
    <row r="102" spans="1:22" ht="25.15" customHeight="1" x14ac:dyDescent="0.25">
      <c r="A102" s="32">
        <f t="shared" si="6"/>
        <v>0</v>
      </c>
      <c r="B102" s="136">
        <f t="shared" si="6"/>
        <v>0</v>
      </c>
      <c r="C102" s="136"/>
      <c r="D102" s="136"/>
      <c r="E102" s="136"/>
      <c r="F102" s="136"/>
      <c r="G102" s="136"/>
      <c r="H102" s="137">
        <f t="shared" si="9"/>
        <v>0</v>
      </c>
      <c r="I102" s="137"/>
      <c r="J102" s="137"/>
      <c r="K102" s="138">
        <f t="shared" si="10"/>
        <v>0</v>
      </c>
      <c r="L102" s="138"/>
      <c r="M102" s="139">
        <f t="shared" si="7"/>
        <v>0</v>
      </c>
      <c r="N102" s="139"/>
      <c r="O102" s="139"/>
      <c r="P102" s="35">
        <f t="shared" si="8"/>
        <v>0</v>
      </c>
      <c r="R102" s="115"/>
      <c r="S102" s="115"/>
      <c r="T102" s="94"/>
    </row>
    <row r="103" spans="1:22" ht="25.15" customHeight="1" x14ac:dyDescent="0.25">
      <c r="A103" s="32">
        <f t="shared" si="6"/>
        <v>0</v>
      </c>
      <c r="B103" s="136">
        <f t="shared" si="6"/>
        <v>0</v>
      </c>
      <c r="C103" s="136"/>
      <c r="D103" s="136"/>
      <c r="E103" s="136"/>
      <c r="F103" s="136"/>
      <c r="G103" s="136"/>
      <c r="H103" s="137">
        <f t="shared" si="9"/>
        <v>0</v>
      </c>
      <c r="I103" s="137"/>
      <c r="J103" s="137"/>
      <c r="K103" s="138">
        <f t="shared" si="10"/>
        <v>0</v>
      </c>
      <c r="L103" s="138"/>
      <c r="M103" s="139">
        <f t="shared" si="7"/>
        <v>0</v>
      </c>
      <c r="N103" s="139"/>
      <c r="O103" s="139"/>
      <c r="P103" s="35">
        <f t="shared" si="8"/>
        <v>0</v>
      </c>
      <c r="R103" s="115"/>
      <c r="S103" s="115"/>
      <c r="T103" s="94"/>
    </row>
    <row r="104" spans="1:22" ht="25.15" customHeight="1" x14ac:dyDescent="0.25">
      <c r="A104" s="32">
        <f t="shared" si="6"/>
        <v>0</v>
      </c>
      <c r="B104" s="136">
        <f t="shared" si="6"/>
        <v>0</v>
      </c>
      <c r="C104" s="136"/>
      <c r="D104" s="136"/>
      <c r="E104" s="136"/>
      <c r="F104" s="136"/>
      <c r="G104" s="136"/>
      <c r="H104" s="137">
        <f t="shared" si="9"/>
        <v>0</v>
      </c>
      <c r="I104" s="137"/>
      <c r="J104" s="137"/>
      <c r="K104" s="138">
        <f t="shared" si="10"/>
        <v>0</v>
      </c>
      <c r="L104" s="138"/>
      <c r="M104" s="139">
        <f t="shared" si="7"/>
        <v>0</v>
      </c>
      <c r="N104" s="139"/>
      <c r="O104" s="139"/>
      <c r="P104" s="35">
        <f t="shared" si="8"/>
        <v>0</v>
      </c>
      <c r="R104" s="115"/>
      <c r="S104" s="115"/>
      <c r="T104" s="94"/>
    </row>
    <row r="105" spans="1:22" ht="25.15" customHeight="1" x14ac:dyDescent="0.25">
      <c r="A105" s="32">
        <f t="shared" si="6"/>
        <v>0</v>
      </c>
      <c r="B105" s="136">
        <f t="shared" si="6"/>
        <v>0</v>
      </c>
      <c r="C105" s="136"/>
      <c r="D105" s="136"/>
      <c r="E105" s="136"/>
      <c r="F105" s="136"/>
      <c r="G105" s="136"/>
      <c r="H105" s="137">
        <f t="shared" si="9"/>
        <v>0</v>
      </c>
      <c r="I105" s="137"/>
      <c r="J105" s="137"/>
      <c r="K105" s="138">
        <f t="shared" si="10"/>
        <v>0</v>
      </c>
      <c r="L105" s="138"/>
      <c r="M105" s="139">
        <f t="shared" si="7"/>
        <v>0</v>
      </c>
      <c r="N105" s="139"/>
      <c r="O105" s="139"/>
      <c r="P105" s="35">
        <f t="shared" si="8"/>
        <v>0</v>
      </c>
      <c r="R105" s="115"/>
      <c r="S105" s="115"/>
      <c r="T105" s="94"/>
    </row>
    <row r="106" spans="1:22" ht="25.15" customHeight="1" x14ac:dyDescent="0.25">
      <c r="A106" s="32">
        <f t="shared" si="6"/>
        <v>0</v>
      </c>
      <c r="B106" s="136">
        <f t="shared" si="6"/>
        <v>0</v>
      </c>
      <c r="C106" s="136"/>
      <c r="D106" s="136"/>
      <c r="E106" s="136"/>
      <c r="F106" s="136"/>
      <c r="G106" s="136"/>
      <c r="H106" s="137">
        <f t="shared" si="9"/>
        <v>0</v>
      </c>
      <c r="I106" s="137"/>
      <c r="J106" s="137"/>
      <c r="K106" s="138">
        <f t="shared" si="10"/>
        <v>0</v>
      </c>
      <c r="L106" s="138"/>
      <c r="M106" s="139">
        <f t="shared" si="7"/>
        <v>0</v>
      </c>
      <c r="N106" s="139"/>
      <c r="O106" s="139"/>
      <c r="P106" s="35">
        <f t="shared" si="8"/>
        <v>0</v>
      </c>
      <c r="R106" s="115"/>
      <c r="S106" s="115"/>
      <c r="T106" s="94"/>
    </row>
    <row r="107" spans="1:22" ht="25.15" customHeight="1" x14ac:dyDescent="0.25">
      <c r="A107" s="32">
        <f t="shared" si="6"/>
        <v>0</v>
      </c>
      <c r="B107" s="136">
        <f t="shared" si="6"/>
        <v>0</v>
      </c>
      <c r="C107" s="136"/>
      <c r="D107" s="136"/>
      <c r="E107" s="136"/>
      <c r="F107" s="136"/>
      <c r="G107" s="136"/>
      <c r="H107" s="137">
        <f t="shared" si="9"/>
        <v>0</v>
      </c>
      <c r="I107" s="137"/>
      <c r="J107" s="137"/>
      <c r="K107" s="138">
        <f t="shared" si="10"/>
        <v>0</v>
      </c>
      <c r="L107" s="138"/>
      <c r="M107" s="139">
        <f t="shared" si="7"/>
        <v>0</v>
      </c>
      <c r="N107" s="139"/>
      <c r="O107" s="139"/>
      <c r="P107" s="35">
        <f t="shared" si="8"/>
        <v>0</v>
      </c>
      <c r="R107" s="115"/>
      <c r="S107" s="115"/>
      <c r="T107" s="94"/>
    </row>
    <row r="108" spans="1:22" ht="25.15" customHeight="1" x14ac:dyDescent="0.25">
      <c r="A108" s="32">
        <f t="shared" si="6"/>
        <v>0</v>
      </c>
      <c r="B108" s="136">
        <f t="shared" si="6"/>
        <v>0</v>
      </c>
      <c r="C108" s="136"/>
      <c r="D108" s="136"/>
      <c r="E108" s="136"/>
      <c r="F108" s="136"/>
      <c r="G108" s="136"/>
      <c r="H108" s="137">
        <f t="shared" si="9"/>
        <v>0</v>
      </c>
      <c r="I108" s="137"/>
      <c r="J108" s="137"/>
      <c r="K108" s="138">
        <f t="shared" si="10"/>
        <v>0</v>
      </c>
      <c r="L108" s="138"/>
      <c r="M108" s="139">
        <f t="shared" si="7"/>
        <v>0</v>
      </c>
      <c r="N108" s="139"/>
      <c r="O108" s="139"/>
      <c r="P108" s="35">
        <f t="shared" si="8"/>
        <v>0</v>
      </c>
      <c r="R108" s="115"/>
      <c r="S108" s="115"/>
      <c r="T108" s="94"/>
    </row>
    <row r="109" spans="1:22" ht="25.15" customHeight="1" x14ac:dyDescent="0.25">
      <c r="A109" s="32">
        <f t="shared" si="6"/>
        <v>0</v>
      </c>
      <c r="B109" s="136">
        <f t="shared" si="6"/>
        <v>0</v>
      </c>
      <c r="C109" s="136"/>
      <c r="D109" s="136"/>
      <c r="E109" s="136"/>
      <c r="F109" s="136"/>
      <c r="G109" s="136"/>
      <c r="H109" s="137">
        <f t="shared" si="9"/>
        <v>0</v>
      </c>
      <c r="I109" s="137"/>
      <c r="J109" s="137"/>
      <c r="K109" s="138">
        <f t="shared" si="10"/>
        <v>0</v>
      </c>
      <c r="L109" s="138"/>
      <c r="M109" s="139">
        <f t="shared" si="7"/>
        <v>0</v>
      </c>
      <c r="N109" s="139"/>
      <c r="O109" s="139"/>
      <c r="P109" s="35">
        <f t="shared" si="8"/>
        <v>0</v>
      </c>
      <c r="R109" s="115"/>
      <c r="S109" s="115"/>
      <c r="T109" s="94"/>
    </row>
    <row r="110" spans="1:22" ht="25.15" customHeight="1" x14ac:dyDescent="0.25">
      <c r="A110" s="32">
        <f t="shared" si="6"/>
        <v>0</v>
      </c>
      <c r="B110" s="136">
        <f t="shared" si="6"/>
        <v>0</v>
      </c>
      <c r="C110" s="136"/>
      <c r="D110" s="136"/>
      <c r="E110" s="136"/>
      <c r="F110" s="136"/>
      <c r="G110" s="136"/>
      <c r="H110" s="137">
        <f t="shared" si="9"/>
        <v>0</v>
      </c>
      <c r="I110" s="137"/>
      <c r="J110" s="137"/>
      <c r="K110" s="138">
        <f t="shared" si="10"/>
        <v>0</v>
      </c>
      <c r="L110" s="138"/>
      <c r="M110" s="139">
        <f t="shared" si="7"/>
        <v>0</v>
      </c>
      <c r="N110" s="139"/>
      <c r="O110" s="139"/>
      <c r="P110" s="35">
        <f t="shared" si="8"/>
        <v>0</v>
      </c>
      <c r="R110" s="115"/>
      <c r="S110" s="115"/>
      <c r="T110" s="94"/>
    </row>
    <row r="111" spans="1:22" ht="25.15" customHeight="1" x14ac:dyDescent="0.25">
      <c r="A111" s="32">
        <f t="shared" si="6"/>
        <v>0</v>
      </c>
      <c r="B111" s="136">
        <f t="shared" si="6"/>
        <v>0</v>
      </c>
      <c r="C111" s="136"/>
      <c r="D111" s="136"/>
      <c r="E111" s="136"/>
      <c r="F111" s="136"/>
      <c r="G111" s="136"/>
      <c r="H111" s="137">
        <f t="shared" si="9"/>
        <v>0</v>
      </c>
      <c r="I111" s="137"/>
      <c r="J111" s="137"/>
      <c r="K111" s="138">
        <f t="shared" si="10"/>
        <v>0</v>
      </c>
      <c r="L111" s="138"/>
      <c r="M111" s="139">
        <f t="shared" si="7"/>
        <v>0</v>
      </c>
      <c r="N111" s="139"/>
      <c r="O111" s="139"/>
      <c r="P111" s="35">
        <f t="shared" si="8"/>
        <v>0</v>
      </c>
      <c r="R111" s="27"/>
      <c r="S111" s="27"/>
      <c r="T111" s="27"/>
    </row>
    <row r="112" spans="1:22" ht="25.15" customHeight="1" x14ac:dyDescent="0.25">
      <c r="A112" s="32">
        <f t="shared" si="6"/>
        <v>0</v>
      </c>
      <c r="B112" s="136">
        <f t="shared" si="6"/>
        <v>0</v>
      </c>
      <c r="C112" s="136"/>
      <c r="D112" s="136"/>
      <c r="E112" s="136"/>
      <c r="F112" s="136"/>
      <c r="G112" s="136"/>
      <c r="H112" s="137">
        <f t="shared" si="9"/>
        <v>0</v>
      </c>
      <c r="I112" s="137"/>
      <c r="J112" s="137"/>
      <c r="K112" s="138">
        <f t="shared" si="10"/>
        <v>0</v>
      </c>
      <c r="L112" s="138"/>
      <c r="M112" s="139">
        <f t="shared" si="7"/>
        <v>0</v>
      </c>
      <c r="N112" s="139"/>
      <c r="O112" s="139"/>
      <c r="P112" s="35">
        <f t="shared" si="8"/>
        <v>0</v>
      </c>
    </row>
    <row r="113" spans="1:22" ht="25.15" customHeight="1" x14ac:dyDescent="0.25">
      <c r="A113" s="32">
        <f t="shared" ref="A113:B114" si="11">A73</f>
        <v>0</v>
      </c>
      <c r="B113" s="136">
        <f t="shared" si="11"/>
        <v>0</v>
      </c>
      <c r="C113" s="136"/>
      <c r="D113" s="136"/>
      <c r="E113" s="136"/>
      <c r="F113" s="136"/>
      <c r="G113" s="136"/>
      <c r="H113" s="137">
        <f t="shared" si="9"/>
        <v>0</v>
      </c>
      <c r="I113" s="137"/>
      <c r="J113" s="137"/>
      <c r="K113" s="138">
        <f t="shared" si="10"/>
        <v>0</v>
      </c>
      <c r="L113" s="138"/>
      <c r="M113" s="139">
        <f t="shared" si="7"/>
        <v>0</v>
      </c>
      <c r="N113" s="139"/>
      <c r="O113" s="139"/>
      <c r="P113" s="35">
        <f t="shared" si="8"/>
        <v>0</v>
      </c>
    </row>
    <row r="114" spans="1:22" ht="25.15" customHeight="1" x14ac:dyDescent="0.25">
      <c r="A114" s="32">
        <f t="shared" si="11"/>
        <v>0</v>
      </c>
      <c r="B114" s="136">
        <f t="shared" si="11"/>
        <v>0</v>
      </c>
      <c r="C114" s="136"/>
      <c r="D114" s="136"/>
      <c r="E114" s="136"/>
      <c r="F114" s="136"/>
      <c r="G114" s="136"/>
      <c r="H114" s="137">
        <f t="shared" si="9"/>
        <v>0</v>
      </c>
      <c r="I114" s="137"/>
      <c r="J114" s="137"/>
      <c r="K114" s="138">
        <f t="shared" si="10"/>
        <v>0</v>
      </c>
      <c r="L114" s="138"/>
      <c r="M114" s="139">
        <f t="shared" si="7"/>
        <v>0</v>
      </c>
      <c r="N114" s="139"/>
      <c r="O114" s="139"/>
      <c r="P114" s="35">
        <f t="shared" si="8"/>
        <v>0</v>
      </c>
    </row>
    <row r="115" spans="1:22" ht="21.95" customHeight="1" thickBot="1" x14ac:dyDescent="0.3">
      <c r="A115" s="153" t="s">
        <v>17</v>
      </c>
      <c r="B115" s="154"/>
      <c r="C115" s="154"/>
      <c r="D115" s="154"/>
      <c r="E115" s="154"/>
      <c r="F115" s="154"/>
      <c r="G115" s="143"/>
      <c r="H115" s="155">
        <f>SUM(H95:J114)</f>
        <v>95</v>
      </c>
      <c r="I115" s="156"/>
      <c r="J115" s="157"/>
      <c r="K115" s="158">
        <f>SUM(K95:L114)</f>
        <v>7050</v>
      </c>
      <c r="L115" s="159"/>
      <c r="M115" s="160"/>
      <c r="N115" s="161"/>
      <c r="O115" s="162"/>
      <c r="P115" s="19"/>
    </row>
    <row r="117" spans="1:22" ht="31.9" customHeight="1" x14ac:dyDescent="0.25">
      <c r="A117" s="164" t="s">
        <v>22</v>
      </c>
      <c r="B117" s="165"/>
      <c r="C117" s="165"/>
      <c r="D117" s="166" t="str">
        <f>D77</f>
        <v>MD.RANA</v>
      </c>
      <c r="E117" s="166"/>
      <c r="F117" s="166"/>
      <c r="G117" s="165" t="s">
        <v>23</v>
      </c>
      <c r="H117" s="165"/>
      <c r="I117" s="165"/>
      <c r="J117" s="165"/>
      <c r="K117" s="165"/>
      <c r="L117" s="165"/>
      <c r="M117" s="167" t="str">
        <f>M77</f>
        <v>01716-158891</v>
      </c>
      <c r="N117" s="167"/>
      <c r="O117" s="167"/>
      <c r="P117" s="168"/>
    </row>
    <row r="118" spans="1:22" ht="31.9" customHeight="1" x14ac:dyDescent="0.25">
      <c r="A118" s="169" t="s">
        <v>24</v>
      </c>
      <c r="B118" s="170"/>
      <c r="C118" s="170"/>
      <c r="D118" s="171" t="str">
        <f>D78</f>
        <v>OOOO1</v>
      </c>
      <c r="E118" s="171"/>
      <c r="F118" s="171"/>
      <c r="G118" s="170" t="s">
        <v>25</v>
      </c>
      <c r="H118" s="170"/>
      <c r="I118" s="170"/>
      <c r="J118" s="170"/>
      <c r="K118" s="170"/>
      <c r="L118" s="170"/>
      <c r="M118" s="172" t="str">
        <f>M78</f>
        <v>D.M.AO 11-5177</v>
      </c>
      <c r="N118" s="172"/>
      <c r="O118" s="172"/>
      <c r="P118" s="173"/>
    </row>
    <row r="119" spans="1:22" ht="54" customHeight="1" thickBot="1" x14ac:dyDescent="0.3">
      <c r="A119" s="5"/>
      <c r="B119" s="5"/>
      <c r="C119" s="5"/>
      <c r="F119" s="5"/>
      <c r="G119" s="5"/>
      <c r="H119" s="7"/>
      <c r="I119" s="7"/>
      <c r="J119" s="7"/>
      <c r="M119" s="5"/>
      <c r="N119" s="5"/>
      <c r="O119" s="5"/>
      <c r="P119" s="5"/>
    </row>
    <row r="120" spans="1:22" ht="16.899999999999999" customHeight="1" thickTop="1" x14ac:dyDescent="0.25">
      <c r="A120" s="163" t="s">
        <v>18</v>
      </c>
      <c r="B120" s="163"/>
      <c r="C120" s="163"/>
      <c r="D120" s="4"/>
      <c r="E120" s="4"/>
      <c r="F120" s="163" t="s">
        <v>19</v>
      </c>
      <c r="G120" s="163"/>
      <c r="H120" s="37"/>
      <c r="I120" s="37"/>
      <c r="J120" s="37"/>
      <c r="K120" s="4"/>
      <c r="L120" s="163" t="s">
        <v>20</v>
      </c>
      <c r="M120" s="163"/>
      <c r="N120" s="163"/>
      <c r="O120" s="163"/>
      <c r="P120" s="163"/>
    </row>
    <row r="121" spans="1:22" ht="8.25" customHeight="1" x14ac:dyDescent="0.25"/>
    <row r="122" spans="1:22" ht="36.75" customHeight="1" x14ac:dyDescent="0.25">
      <c r="A122" s="64"/>
      <c r="B122" s="64"/>
      <c r="C122" s="64"/>
      <c r="D122" s="65" t="s">
        <v>27</v>
      </c>
      <c r="E122" s="65"/>
      <c r="F122" s="65"/>
      <c r="G122" s="65"/>
      <c r="H122" s="65"/>
      <c r="I122" s="65"/>
      <c r="J122" s="65"/>
      <c r="K122" s="65"/>
      <c r="L122" s="65"/>
      <c r="M122" s="66" t="str">
        <f>M82</f>
        <v>FORM STR 03
REVISION NO 01</v>
      </c>
      <c r="N122" s="66"/>
      <c r="O122" s="66"/>
      <c r="P122" s="66"/>
      <c r="Q122" s="10"/>
    </row>
    <row r="123" spans="1:22" ht="22.15" customHeight="1" x14ac:dyDescent="0.25">
      <c r="A123" s="64"/>
      <c r="B123" s="64"/>
      <c r="C123" s="64"/>
      <c r="D123" s="65"/>
      <c r="E123" s="65"/>
      <c r="F123" s="65"/>
      <c r="G123" s="65"/>
      <c r="H123" s="65"/>
      <c r="I123" s="65"/>
      <c r="J123" s="65"/>
      <c r="K123" s="65"/>
      <c r="L123" s="65"/>
      <c r="M123" s="66"/>
      <c r="N123" s="66"/>
      <c r="O123" s="66"/>
      <c r="P123" s="66"/>
      <c r="Q123" s="10"/>
    </row>
    <row r="124" spans="1:22" ht="17.45" customHeight="1" x14ac:dyDescent="0.25">
      <c r="A124" s="67"/>
      <c r="B124" s="67"/>
      <c r="C124" s="67"/>
      <c r="D124" s="68" t="s">
        <v>21</v>
      </c>
      <c r="E124" s="68"/>
      <c r="F124" s="68"/>
      <c r="G124" s="68"/>
      <c r="H124" s="68"/>
      <c r="I124" s="68"/>
      <c r="J124" s="68"/>
      <c r="K124" s="68"/>
      <c r="L124" s="68"/>
      <c r="M124" s="11"/>
    </row>
    <row r="125" spans="1:22" ht="22.15" customHeight="1" thickBot="1" x14ac:dyDescent="0.35">
      <c r="A125" s="69"/>
      <c r="B125" s="69"/>
      <c r="C125" s="1"/>
      <c r="D125" s="70" t="s">
        <v>92</v>
      </c>
      <c r="E125" s="70"/>
      <c r="F125" s="70"/>
      <c r="G125" s="70"/>
      <c r="H125" s="70"/>
      <c r="I125" s="70"/>
      <c r="J125" s="70"/>
      <c r="K125" s="70"/>
      <c r="L125" s="70"/>
      <c r="M125" s="2"/>
      <c r="N125" s="64"/>
      <c r="O125" s="64"/>
      <c r="P125" s="64"/>
    </row>
    <row r="126" spans="1:22" ht="15.6" customHeight="1" thickBot="1" x14ac:dyDescent="0.35">
      <c r="A126" s="98" t="s">
        <v>9</v>
      </c>
      <c r="B126" s="99"/>
      <c r="C126" s="100" t="str">
        <f>C86</f>
        <v>O538</v>
      </c>
      <c r="D126" s="100"/>
      <c r="E126" s="100"/>
      <c r="F126" s="101"/>
      <c r="G126" s="2"/>
      <c r="H126" s="102" t="s">
        <v>4</v>
      </c>
      <c r="I126" s="103"/>
      <c r="J126" s="103"/>
      <c r="K126" s="8" t="s">
        <v>7</v>
      </c>
      <c r="L126" s="104" t="str">
        <f>L86</f>
        <v>JP 523774</v>
      </c>
      <c r="M126" s="104"/>
      <c r="N126" s="104"/>
      <c r="O126" s="104"/>
      <c r="P126" s="105"/>
    </row>
    <row r="127" spans="1:22" ht="17.45" customHeight="1" x14ac:dyDescent="0.3">
      <c r="A127" s="18" t="s">
        <v>10</v>
      </c>
      <c r="B127" s="15"/>
      <c r="C127" s="15"/>
      <c r="D127" s="15"/>
      <c r="E127" s="15"/>
      <c r="F127" s="16"/>
      <c r="G127" s="2"/>
      <c r="H127" s="79" t="s">
        <v>5</v>
      </c>
      <c r="I127" s="80"/>
      <c r="J127" s="80"/>
      <c r="K127" s="9" t="s">
        <v>7</v>
      </c>
      <c r="L127" s="106">
        <f>L87</f>
        <v>45684</v>
      </c>
      <c r="M127" s="106"/>
      <c r="N127" s="106"/>
      <c r="O127" s="106"/>
      <c r="P127" s="107"/>
      <c r="R127" s="115"/>
      <c r="S127" s="115"/>
      <c r="T127" s="174"/>
      <c r="U127" s="26"/>
      <c r="V127" s="174"/>
    </row>
    <row r="128" spans="1:22" ht="18" customHeight="1" x14ac:dyDescent="0.3">
      <c r="A128" s="73" t="str">
        <f>A88</f>
        <v>Summit Alliance Port Limited (OCL).
Katghar, North Patenga, Chitagong.</v>
      </c>
      <c r="B128" s="74"/>
      <c r="C128" s="74"/>
      <c r="D128" s="74"/>
      <c r="E128" s="74"/>
      <c r="F128" s="75"/>
      <c r="G128" s="2"/>
      <c r="H128" s="79" t="s">
        <v>8</v>
      </c>
      <c r="I128" s="80"/>
      <c r="J128" s="80"/>
      <c r="K128" s="9" t="s">
        <v>7</v>
      </c>
      <c r="L128" s="81" t="str">
        <f>L88</f>
        <v>SEA</v>
      </c>
      <c r="M128" s="81"/>
      <c r="N128" s="81"/>
      <c r="O128" s="81"/>
      <c r="P128" s="82"/>
      <c r="R128" s="115"/>
      <c r="S128" s="115"/>
      <c r="T128" s="175"/>
      <c r="U128" s="26"/>
      <c r="V128" s="175"/>
    </row>
    <row r="129" spans="1:22" ht="17.25" x14ac:dyDescent="0.3">
      <c r="A129" s="73"/>
      <c r="B129" s="74"/>
      <c r="C129" s="74"/>
      <c r="D129" s="74"/>
      <c r="E129" s="74"/>
      <c r="F129" s="75"/>
      <c r="G129" s="2"/>
      <c r="H129" s="83" t="s">
        <v>6</v>
      </c>
      <c r="I129" s="84"/>
      <c r="J129" s="84"/>
      <c r="K129" s="89" t="s">
        <v>7</v>
      </c>
      <c r="L129" s="92" t="str">
        <f>L89</f>
        <v>M/S. Kabir &amp; Co.
1104DT Road West Madarbari,
Chattogram, Bangladesh.</v>
      </c>
      <c r="M129" s="92"/>
      <c r="N129" s="92"/>
      <c r="O129" s="92"/>
      <c r="P129" s="93"/>
      <c r="R129" s="115"/>
      <c r="S129" s="115"/>
      <c r="T129" s="175"/>
      <c r="U129" s="26"/>
      <c r="V129" s="175"/>
    </row>
    <row r="130" spans="1:22" ht="18" thickBot="1" x14ac:dyDescent="0.35">
      <c r="A130" s="76"/>
      <c r="B130" s="77"/>
      <c r="C130" s="77"/>
      <c r="D130" s="77"/>
      <c r="E130" s="77"/>
      <c r="F130" s="78"/>
      <c r="G130" s="2"/>
      <c r="H130" s="85"/>
      <c r="I130" s="86"/>
      <c r="J130" s="86"/>
      <c r="K130" s="90"/>
      <c r="L130" s="94"/>
      <c r="M130" s="94"/>
      <c r="N130" s="94"/>
      <c r="O130" s="94"/>
      <c r="P130" s="95"/>
      <c r="R130" s="115"/>
      <c r="S130" s="115"/>
      <c r="T130" s="174"/>
      <c r="U130" s="26"/>
      <c r="V130" s="174"/>
    </row>
    <row r="131" spans="1:22" ht="18" customHeight="1" thickBot="1" x14ac:dyDescent="0.35">
      <c r="A131" s="69"/>
      <c r="B131" s="69"/>
      <c r="C131" s="1"/>
      <c r="D131" s="2"/>
      <c r="E131" s="2"/>
      <c r="F131" s="2"/>
      <c r="G131" s="2"/>
      <c r="H131" s="87"/>
      <c r="I131" s="88"/>
      <c r="J131" s="88"/>
      <c r="K131" s="91"/>
      <c r="L131" s="96"/>
      <c r="M131" s="96"/>
      <c r="N131" s="96"/>
      <c r="O131" s="96"/>
      <c r="P131" s="97"/>
      <c r="R131" s="115"/>
      <c r="S131" s="115"/>
      <c r="T131" s="174"/>
      <c r="U131" s="26"/>
      <c r="V131" s="175"/>
    </row>
    <row r="132" spans="1:22" ht="16.149999999999999" customHeight="1" x14ac:dyDescent="0.25">
      <c r="A132" s="130" t="s">
        <v>12</v>
      </c>
      <c r="B132" s="131"/>
      <c r="C132" s="132" t="s">
        <v>0</v>
      </c>
      <c r="D132" s="132"/>
      <c r="E132" s="132"/>
      <c r="F132" s="132"/>
      <c r="G132" s="132"/>
      <c r="H132" s="108" t="s">
        <v>1</v>
      </c>
      <c r="I132" s="109"/>
      <c r="J132" s="109"/>
      <c r="K132" s="109"/>
      <c r="L132" s="110"/>
      <c r="M132" s="111" t="s">
        <v>16</v>
      </c>
      <c r="N132" s="112"/>
      <c r="O132" s="113"/>
      <c r="P132" s="176" t="s">
        <v>3</v>
      </c>
      <c r="R132" s="115"/>
      <c r="S132" s="115"/>
      <c r="T132" s="174"/>
      <c r="U132" s="26"/>
      <c r="V132" s="175"/>
    </row>
    <row r="133" spans="1:22" ht="16.149999999999999" customHeight="1" x14ac:dyDescent="0.25">
      <c r="A133" s="3" t="s">
        <v>13</v>
      </c>
      <c r="B133" s="33">
        <f>B93</f>
        <v>0</v>
      </c>
      <c r="C133" s="123" t="str">
        <f>C93</f>
        <v>Delivery of Readymade Garments</v>
      </c>
      <c r="D133" s="123"/>
      <c r="E133" s="123"/>
      <c r="F133" s="123"/>
      <c r="G133" s="123"/>
      <c r="H133" s="192" t="s">
        <v>2</v>
      </c>
      <c r="I133" s="193"/>
      <c r="J133" s="194"/>
      <c r="K133" s="192" t="s">
        <v>15</v>
      </c>
      <c r="L133" s="194"/>
      <c r="M133" s="114"/>
      <c r="N133" s="115"/>
      <c r="O133" s="116"/>
      <c r="P133" s="177"/>
      <c r="R133" s="115"/>
      <c r="S133" s="115"/>
      <c r="T133" s="174"/>
      <c r="V133" s="174"/>
    </row>
    <row r="134" spans="1:22" ht="16.149999999999999" customHeight="1" thickBot="1" x14ac:dyDescent="0.3">
      <c r="A134" s="140" t="s">
        <v>11</v>
      </c>
      <c r="B134" s="141"/>
      <c r="C134" s="142" t="str">
        <f>C94</f>
        <v>H &amp; M</v>
      </c>
      <c r="D134" s="143"/>
      <c r="E134" s="144" t="s">
        <v>88</v>
      </c>
      <c r="F134" s="145"/>
      <c r="G134" s="141"/>
      <c r="H134" s="127"/>
      <c r="I134" s="128"/>
      <c r="J134" s="129"/>
      <c r="K134" s="127"/>
      <c r="L134" s="129"/>
      <c r="M134" s="117"/>
      <c r="N134" s="118"/>
      <c r="O134" s="119"/>
      <c r="P134" s="178"/>
      <c r="R134" s="115"/>
      <c r="S134" s="115"/>
      <c r="T134" s="174"/>
      <c r="V134" s="175"/>
    </row>
    <row r="135" spans="1:22" ht="25.15" customHeight="1" x14ac:dyDescent="0.25">
      <c r="A135" s="31">
        <f>A95</f>
        <v>0</v>
      </c>
      <c r="B135" s="146" t="str">
        <f>B95</f>
        <v>316252-5832</v>
      </c>
      <c r="C135" s="146"/>
      <c r="D135" s="146"/>
      <c r="E135" s="146"/>
      <c r="F135" s="146"/>
      <c r="G135" s="146"/>
      <c r="H135" s="187">
        <f>H95</f>
        <v>59</v>
      </c>
      <c r="I135" s="188"/>
      <c r="J135" s="189"/>
      <c r="K135" s="190">
        <f>K95</f>
        <v>4351</v>
      </c>
      <c r="L135" s="191"/>
      <c r="M135" s="133" t="str">
        <f>M95</f>
        <v>DE,BE</v>
      </c>
      <c r="N135" s="134"/>
      <c r="O135" s="135"/>
      <c r="P135" s="34">
        <f>P95</f>
        <v>0</v>
      </c>
      <c r="R135" s="115"/>
      <c r="S135" s="115"/>
      <c r="T135" s="174"/>
      <c r="V135" s="175"/>
    </row>
    <row r="136" spans="1:22" ht="25.15" customHeight="1" x14ac:dyDescent="0.25">
      <c r="A136" s="32">
        <f>A96</f>
        <v>0</v>
      </c>
      <c r="B136" s="136" t="str">
        <f>B96</f>
        <v>316249-5832</v>
      </c>
      <c r="C136" s="136"/>
      <c r="D136" s="136"/>
      <c r="E136" s="136"/>
      <c r="F136" s="136"/>
      <c r="G136" s="136"/>
      <c r="H136" s="179">
        <f>H96</f>
        <v>36</v>
      </c>
      <c r="I136" s="180"/>
      <c r="J136" s="181"/>
      <c r="K136" s="182">
        <f>K96</f>
        <v>2699</v>
      </c>
      <c r="L136" s="183"/>
      <c r="M136" s="184" t="str">
        <f>M96</f>
        <v>DE</v>
      </c>
      <c r="N136" s="185"/>
      <c r="O136" s="186"/>
      <c r="P136" s="35">
        <f>P96</f>
        <v>0</v>
      </c>
      <c r="R136" s="115"/>
      <c r="S136" s="115"/>
      <c r="T136" s="94"/>
      <c r="V136" s="174"/>
    </row>
    <row r="137" spans="1:22" ht="25.15" customHeight="1" x14ac:dyDescent="0.25">
      <c r="A137" s="32">
        <f t="shared" ref="A137:B152" si="12">A97</f>
        <v>0</v>
      </c>
      <c r="B137" s="136">
        <f t="shared" si="12"/>
        <v>0</v>
      </c>
      <c r="C137" s="136"/>
      <c r="D137" s="136"/>
      <c r="E137" s="136"/>
      <c r="F137" s="136"/>
      <c r="G137" s="136"/>
      <c r="H137" s="179">
        <f>H97</f>
        <v>0</v>
      </c>
      <c r="I137" s="180"/>
      <c r="J137" s="181"/>
      <c r="K137" s="182">
        <f>K97</f>
        <v>0</v>
      </c>
      <c r="L137" s="183"/>
      <c r="M137" s="184">
        <f t="shared" ref="M137:M154" si="13">M97</f>
        <v>0</v>
      </c>
      <c r="N137" s="185"/>
      <c r="O137" s="186"/>
      <c r="P137" s="35">
        <f t="shared" ref="P137:P154" si="14">P97</f>
        <v>0</v>
      </c>
      <c r="R137" s="115"/>
      <c r="S137" s="115"/>
      <c r="T137" s="94"/>
      <c r="V137" s="175"/>
    </row>
    <row r="138" spans="1:22" ht="25.15" customHeight="1" x14ac:dyDescent="0.25">
      <c r="A138" s="32">
        <f t="shared" si="12"/>
        <v>0</v>
      </c>
      <c r="B138" s="136">
        <f t="shared" si="12"/>
        <v>0</v>
      </c>
      <c r="C138" s="136"/>
      <c r="D138" s="136"/>
      <c r="E138" s="136"/>
      <c r="F138" s="136"/>
      <c r="G138" s="136"/>
      <c r="H138" s="179">
        <f t="shared" ref="H138:H154" si="15">H98</f>
        <v>0</v>
      </c>
      <c r="I138" s="180"/>
      <c r="J138" s="181"/>
      <c r="K138" s="182">
        <f t="shared" ref="K138:K154" si="16">K98</f>
        <v>0</v>
      </c>
      <c r="L138" s="183"/>
      <c r="M138" s="184">
        <f t="shared" si="13"/>
        <v>0</v>
      </c>
      <c r="N138" s="185"/>
      <c r="O138" s="186"/>
      <c r="P138" s="35">
        <f t="shared" si="14"/>
        <v>0</v>
      </c>
      <c r="R138" s="115"/>
      <c r="S138" s="115"/>
      <c r="T138" s="94"/>
      <c r="V138" s="175"/>
    </row>
    <row r="139" spans="1:22" ht="25.15" customHeight="1" x14ac:dyDescent="0.25">
      <c r="A139" s="32">
        <f t="shared" si="12"/>
        <v>0</v>
      </c>
      <c r="B139" s="136">
        <f t="shared" si="12"/>
        <v>0</v>
      </c>
      <c r="C139" s="136"/>
      <c r="D139" s="136"/>
      <c r="E139" s="136"/>
      <c r="F139" s="136"/>
      <c r="G139" s="136"/>
      <c r="H139" s="179">
        <f t="shared" si="15"/>
        <v>0</v>
      </c>
      <c r="I139" s="180"/>
      <c r="J139" s="181"/>
      <c r="K139" s="182">
        <f t="shared" si="16"/>
        <v>0</v>
      </c>
      <c r="L139" s="183"/>
      <c r="M139" s="184">
        <f t="shared" si="13"/>
        <v>0</v>
      </c>
      <c r="N139" s="185"/>
      <c r="O139" s="186"/>
      <c r="P139" s="35">
        <f t="shared" si="14"/>
        <v>0</v>
      </c>
      <c r="R139" s="115"/>
      <c r="S139" s="115"/>
      <c r="T139" s="94"/>
      <c r="V139" s="174"/>
    </row>
    <row r="140" spans="1:22" ht="25.15" customHeight="1" x14ac:dyDescent="0.25">
      <c r="A140" s="32">
        <f t="shared" si="12"/>
        <v>0</v>
      </c>
      <c r="B140" s="136">
        <f t="shared" si="12"/>
        <v>0</v>
      </c>
      <c r="C140" s="136"/>
      <c r="D140" s="136"/>
      <c r="E140" s="136"/>
      <c r="F140" s="136"/>
      <c r="G140" s="136"/>
      <c r="H140" s="179">
        <f t="shared" si="15"/>
        <v>0</v>
      </c>
      <c r="I140" s="180"/>
      <c r="J140" s="181"/>
      <c r="K140" s="182">
        <f t="shared" si="16"/>
        <v>0</v>
      </c>
      <c r="L140" s="183"/>
      <c r="M140" s="184">
        <f t="shared" si="13"/>
        <v>0</v>
      </c>
      <c r="N140" s="185"/>
      <c r="O140" s="186"/>
      <c r="P140" s="35">
        <f t="shared" si="14"/>
        <v>0</v>
      </c>
      <c r="R140" s="115"/>
      <c r="S140" s="115"/>
      <c r="T140" s="94"/>
      <c r="V140" s="175"/>
    </row>
    <row r="141" spans="1:22" ht="25.15" customHeight="1" x14ac:dyDescent="0.25">
      <c r="A141" s="32">
        <f t="shared" si="12"/>
        <v>0</v>
      </c>
      <c r="B141" s="136">
        <f t="shared" si="12"/>
        <v>0</v>
      </c>
      <c r="C141" s="136"/>
      <c r="D141" s="136"/>
      <c r="E141" s="136"/>
      <c r="F141" s="136"/>
      <c r="G141" s="136"/>
      <c r="H141" s="179">
        <f t="shared" si="15"/>
        <v>0</v>
      </c>
      <c r="I141" s="180"/>
      <c r="J141" s="181"/>
      <c r="K141" s="182">
        <f t="shared" si="16"/>
        <v>0</v>
      </c>
      <c r="L141" s="183"/>
      <c r="M141" s="184">
        <f t="shared" si="13"/>
        <v>0</v>
      </c>
      <c r="N141" s="185"/>
      <c r="O141" s="186"/>
      <c r="P141" s="35">
        <f t="shared" si="14"/>
        <v>0</v>
      </c>
      <c r="R141" s="115"/>
      <c r="S141" s="115"/>
      <c r="T141" s="94"/>
      <c r="V141" s="175"/>
    </row>
    <row r="142" spans="1:22" ht="25.15" customHeight="1" x14ac:dyDescent="0.25">
      <c r="A142" s="32">
        <f t="shared" si="12"/>
        <v>0</v>
      </c>
      <c r="B142" s="136">
        <f t="shared" si="12"/>
        <v>0</v>
      </c>
      <c r="C142" s="136"/>
      <c r="D142" s="136"/>
      <c r="E142" s="136"/>
      <c r="F142" s="136"/>
      <c r="G142" s="136"/>
      <c r="H142" s="179">
        <f t="shared" si="15"/>
        <v>0</v>
      </c>
      <c r="I142" s="180"/>
      <c r="J142" s="181"/>
      <c r="K142" s="182">
        <f t="shared" si="16"/>
        <v>0</v>
      </c>
      <c r="L142" s="183"/>
      <c r="M142" s="184">
        <f t="shared" si="13"/>
        <v>0</v>
      </c>
      <c r="N142" s="185"/>
      <c r="O142" s="186"/>
      <c r="P142" s="35">
        <f t="shared" si="14"/>
        <v>0</v>
      </c>
      <c r="R142" s="115"/>
      <c r="S142" s="115"/>
      <c r="T142" s="94"/>
    </row>
    <row r="143" spans="1:22" ht="25.15" customHeight="1" x14ac:dyDescent="0.25">
      <c r="A143" s="32">
        <f t="shared" si="12"/>
        <v>0</v>
      </c>
      <c r="B143" s="136">
        <f t="shared" si="12"/>
        <v>0</v>
      </c>
      <c r="C143" s="136"/>
      <c r="D143" s="136"/>
      <c r="E143" s="136"/>
      <c r="F143" s="136"/>
      <c r="G143" s="136"/>
      <c r="H143" s="179">
        <f t="shared" si="15"/>
        <v>0</v>
      </c>
      <c r="I143" s="180"/>
      <c r="J143" s="181"/>
      <c r="K143" s="182">
        <f t="shared" si="16"/>
        <v>0</v>
      </c>
      <c r="L143" s="183"/>
      <c r="M143" s="184">
        <f t="shared" si="13"/>
        <v>0</v>
      </c>
      <c r="N143" s="185"/>
      <c r="O143" s="186"/>
      <c r="P143" s="35">
        <f t="shared" si="14"/>
        <v>0</v>
      </c>
      <c r="R143" s="115"/>
      <c r="S143" s="115"/>
      <c r="T143" s="94"/>
    </row>
    <row r="144" spans="1:22" ht="25.15" customHeight="1" x14ac:dyDescent="0.25">
      <c r="A144" s="32">
        <f t="shared" si="12"/>
        <v>0</v>
      </c>
      <c r="B144" s="136">
        <f t="shared" si="12"/>
        <v>0</v>
      </c>
      <c r="C144" s="136"/>
      <c r="D144" s="136"/>
      <c r="E144" s="136"/>
      <c r="F144" s="136"/>
      <c r="G144" s="136"/>
      <c r="H144" s="179">
        <f t="shared" si="15"/>
        <v>0</v>
      </c>
      <c r="I144" s="180"/>
      <c r="J144" s="181"/>
      <c r="K144" s="182">
        <f t="shared" si="16"/>
        <v>0</v>
      </c>
      <c r="L144" s="183"/>
      <c r="M144" s="184">
        <f t="shared" si="13"/>
        <v>0</v>
      </c>
      <c r="N144" s="185"/>
      <c r="O144" s="186"/>
      <c r="P144" s="35">
        <f t="shared" si="14"/>
        <v>0</v>
      </c>
      <c r="R144" s="115"/>
      <c r="S144" s="115"/>
      <c r="T144" s="94"/>
    </row>
    <row r="145" spans="1:20" ht="25.15" customHeight="1" x14ac:dyDescent="0.25">
      <c r="A145" s="32">
        <f t="shared" si="12"/>
        <v>0</v>
      </c>
      <c r="B145" s="136">
        <f t="shared" si="12"/>
        <v>0</v>
      </c>
      <c r="C145" s="136"/>
      <c r="D145" s="136"/>
      <c r="E145" s="136"/>
      <c r="F145" s="136"/>
      <c r="G145" s="136"/>
      <c r="H145" s="179">
        <f t="shared" si="15"/>
        <v>0</v>
      </c>
      <c r="I145" s="180"/>
      <c r="J145" s="181"/>
      <c r="K145" s="182">
        <f t="shared" si="16"/>
        <v>0</v>
      </c>
      <c r="L145" s="183"/>
      <c r="M145" s="184">
        <f t="shared" si="13"/>
        <v>0</v>
      </c>
      <c r="N145" s="185"/>
      <c r="O145" s="186"/>
      <c r="P145" s="35">
        <f t="shared" si="14"/>
        <v>0</v>
      </c>
      <c r="R145" s="115"/>
      <c r="S145" s="115"/>
      <c r="T145" s="94"/>
    </row>
    <row r="146" spans="1:20" ht="25.15" customHeight="1" x14ac:dyDescent="0.25">
      <c r="A146" s="32">
        <f t="shared" si="12"/>
        <v>0</v>
      </c>
      <c r="B146" s="136">
        <f t="shared" si="12"/>
        <v>0</v>
      </c>
      <c r="C146" s="136"/>
      <c r="D146" s="136"/>
      <c r="E146" s="136"/>
      <c r="F146" s="136"/>
      <c r="G146" s="136"/>
      <c r="H146" s="179">
        <f t="shared" si="15"/>
        <v>0</v>
      </c>
      <c r="I146" s="180"/>
      <c r="J146" s="181"/>
      <c r="K146" s="182">
        <f t="shared" si="16"/>
        <v>0</v>
      </c>
      <c r="L146" s="183"/>
      <c r="M146" s="184">
        <f t="shared" si="13"/>
        <v>0</v>
      </c>
      <c r="N146" s="185"/>
      <c r="O146" s="186"/>
      <c r="P146" s="35">
        <f t="shared" si="14"/>
        <v>0</v>
      </c>
      <c r="R146" s="115"/>
      <c r="S146" s="115"/>
      <c r="T146" s="94"/>
    </row>
    <row r="147" spans="1:20" ht="25.15" customHeight="1" x14ac:dyDescent="0.25">
      <c r="A147" s="32">
        <f t="shared" si="12"/>
        <v>0</v>
      </c>
      <c r="B147" s="136">
        <f t="shared" si="12"/>
        <v>0</v>
      </c>
      <c r="C147" s="136"/>
      <c r="D147" s="136"/>
      <c r="E147" s="136"/>
      <c r="F147" s="136"/>
      <c r="G147" s="136"/>
      <c r="H147" s="179">
        <f t="shared" si="15"/>
        <v>0</v>
      </c>
      <c r="I147" s="180"/>
      <c r="J147" s="181"/>
      <c r="K147" s="182">
        <f t="shared" si="16"/>
        <v>0</v>
      </c>
      <c r="L147" s="183"/>
      <c r="M147" s="184">
        <f t="shared" si="13"/>
        <v>0</v>
      </c>
      <c r="N147" s="185"/>
      <c r="O147" s="186"/>
      <c r="P147" s="35">
        <f t="shared" si="14"/>
        <v>0</v>
      </c>
      <c r="R147" s="115"/>
      <c r="S147" s="115"/>
      <c r="T147" s="94"/>
    </row>
    <row r="148" spans="1:20" ht="25.15" customHeight="1" x14ac:dyDescent="0.25">
      <c r="A148" s="32">
        <f t="shared" si="12"/>
        <v>0</v>
      </c>
      <c r="B148" s="136">
        <f t="shared" si="12"/>
        <v>0</v>
      </c>
      <c r="C148" s="136"/>
      <c r="D148" s="136"/>
      <c r="E148" s="136"/>
      <c r="F148" s="136"/>
      <c r="G148" s="136"/>
      <c r="H148" s="179">
        <f t="shared" si="15"/>
        <v>0</v>
      </c>
      <c r="I148" s="180"/>
      <c r="J148" s="181"/>
      <c r="K148" s="182">
        <f t="shared" si="16"/>
        <v>0</v>
      </c>
      <c r="L148" s="183"/>
      <c r="M148" s="184">
        <f t="shared" si="13"/>
        <v>0</v>
      </c>
      <c r="N148" s="185"/>
      <c r="O148" s="186"/>
      <c r="P148" s="35">
        <f t="shared" si="14"/>
        <v>0</v>
      </c>
      <c r="R148" s="115"/>
      <c r="S148" s="115"/>
      <c r="T148" s="94"/>
    </row>
    <row r="149" spans="1:20" ht="25.15" customHeight="1" x14ac:dyDescent="0.25">
      <c r="A149" s="32">
        <f t="shared" si="12"/>
        <v>0</v>
      </c>
      <c r="B149" s="136">
        <f t="shared" si="12"/>
        <v>0</v>
      </c>
      <c r="C149" s="136"/>
      <c r="D149" s="136"/>
      <c r="E149" s="136"/>
      <c r="F149" s="136"/>
      <c r="G149" s="136"/>
      <c r="H149" s="179">
        <f t="shared" si="15"/>
        <v>0</v>
      </c>
      <c r="I149" s="180"/>
      <c r="J149" s="181"/>
      <c r="K149" s="182">
        <f t="shared" si="16"/>
        <v>0</v>
      </c>
      <c r="L149" s="183"/>
      <c r="M149" s="184">
        <f t="shared" si="13"/>
        <v>0</v>
      </c>
      <c r="N149" s="185"/>
      <c r="O149" s="186"/>
      <c r="P149" s="35">
        <f t="shared" si="14"/>
        <v>0</v>
      </c>
      <c r="R149" s="115"/>
      <c r="S149" s="115"/>
      <c r="T149" s="94"/>
    </row>
    <row r="150" spans="1:20" ht="25.15" customHeight="1" x14ac:dyDescent="0.25">
      <c r="A150" s="32">
        <f t="shared" si="12"/>
        <v>0</v>
      </c>
      <c r="B150" s="136">
        <f t="shared" si="12"/>
        <v>0</v>
      </c>
      <c r="C150" s="136"/>
      <c r="D150" s="136"/>
      <c r="E150" s="136"/>
      <c r="F150" s="136"/>
      <c r="G150" s="136"/>
      <c r="H150" s="179">
        <f t="shared" si="15"/>
        <v>0</v>
      </c>
      <c r="I150" s="180"/>
      <c r="J150" s="181"/>
      <c r="K150" s="182">
        <f t="shared" si="16"/>
        <v>0</v>
      </c>
      <c r="L150" s="183"/>
      <c r="M150" s="184">
        <f t="shared" si="13"/>
        <v>0</v>
      </c>
      <c r="N150" s="185"/>
      <c r="O150" s="186"/>
      <c r="P150" s="35">
        <f t="shared" si="14"/>
        <v>0</v>
      </c>
      <c r="R150" s="115"/>
      <c r="S150" s="115"/>
      <c r="T150" s="94"/>
    </row>
    <row r="151" spans="1:20" ht="25.15" customHeight="1" x14ac:dyDescent="0.25">
      <c r="A151" s="32">
        <f t="shared" si="12"/>
        <v>0</v>
      </c>
      <c r="B151" s="136">
        <f t="shared" si="12"/>
        <v>0</v>
      </c>
      <c r="C151" s="136"/>
      <c r="D151" s="136"/>
      <c r="E151" s="136"/>
      <c r="F151" s="136"/>
      <c r="G151" s="136"/>
      <c r="H151" s="179">
        <f t="shared" si="15"/>
        <v>0</v>
      </c>
      <c r="I151" s="180"/>
      <c r="J151" s="181"/>
      <c r="K151" s="182">
        <f t="shared" si="16"/>
        <v>0</v>
      </c>
      <c r="L151" s="183"/>
      <c r="M151" s="184">
        <f t="shared" si="13"/>
        <v>0</v>
      </c>
      <c r="N151" s="185"/>
      <c r="O151" s="186"/>
      <c r="P151" s="35">
        <f t="shared" si="14"/>
        <v>0</v>
      </c>
      <c r="R151" s="27"/>
      <c r="S151" s="27"/>
      <c r="T151" s="27"/>
    </row>
    <row r="152" spans="1:20" ht="25.15" customHeight="1" x14ac:dyDescent="0.25">
      <c r="A152" s="32">
        <f t="shared" si="12"/>
        <v>0</v>
      </c>
      <c r="B152" s="136">
        <f t="shared" si="12"/>
        <v>0</v>
      </c>
      <c r="C152" s="136"/>
      <c r="D152" s="136"/>
      <c r="E152" s="136"/>
      <c r="F152" s="136"/>
      <c r="G152" s="136"/>
      <c r="H152" s="179">
        <f t="shared" si="15"/>
        <v>0</v>
      </c>
      <c r="I152" s="180"/>
      <c r="J152" s="181"/>
      <c r="K152" s="182">
        <f t="shared" si="16"/>
        <v>0</v>
      </c>
      <c r="L152" s="183"/>
      <c r="M152" s="184">
        <f t="shared" si="13"/>
        <v>0</v>
      </c>
      <c r="N152" s="185"/>
      <c r="O152" s="186"/>
      <c r="P152" s="35">
        <f t="shared" si="14"/>
        <v>0</v>
      </c>
    </row>
    <row r="153" spans="1:20" ht="25.15" customHeight="1" x14ac:dyDescent="0.25">
      <c r="A153" s="32">
        <f t="shared" ref="A153:B154" si="17">A113</f>
        <v>0</v>
      </c>
      <c r="B153" s="136">
        <f t="shared" si="17"/>
        <v>0</v>
      </c>
      <c r="C153" s="136"/>
      <c r="D153" s="136"/>
      <c r="E153" s="136"/>
      <c r="F153" s="136"/>
      <c r="G153" s="136"/>
      <c r="H153" s="179">
        <f t="shared" si="15"/>
        <v>0</v>
      </c>
      <c r="I153" s="180"/>
      <c r="J153" s="181"/>
      <c r="K153" s="182">
        <f t="shared" si="16"/>
        <v>0</v>
      </c>
      <c r="L153" s="183"/>
      <c r="M153" s="184">
        <f t="shared" si="13"/>
        <v>0</v>
      </c>
      <c r="N153" s="185"/>
      <c r="O153" s="186"/>
      <c r="P153" s="35">
        <f t="shared" si="14"/>
        <v>0</v>
      </c>
    </row>
    <row r="154" spans="1:20" ht="25.15" customHeight="1" x14ac:dyDescent="0.25">
      <c r="A154" s="32">
        <f t="shared" si="17"/>
        <v>0</v>
      </c>
      <c r="B154" s="136">
        <f t="shared" si="17"/>
        <v>0</v>
      </c>
      <c r="C154" s="136"/>
      <c r="D154" s="136"/>
      <c r="E154" s="136"/>
      <c r="F154" s="136"/>
      <c r="G154" s="136"/>
      <c r="H154" s="179">
        <f t="shared" si="15"/>
        <v>0</v>
      </c>
      <c r="I154" s="180"/>
      <c r="J154" s="181"/>
      <c r="K154" s="182">
        <f t="shared" si="16"/>
        <v>0</v>
      </c>
      <c r="L154" s="183"/>
      <c r="M154" s="184">
        <f t="shared" si="13"/>
        <v>0</v>
      </c>
      <c r="N154" s="185"/>
      <c r="O154" s="186"/>
      <c r="P154" s="35">
        <f t="shared" si="14"/>
        <v>0</v>
      </c>
    </row>
    <row r="155" spans="1:20" ht="21.95" customHeight="1" thickBot="1" x14ac:dyDescent="0.3">
      <c r="A155" s="153" t="s">
        <v>17</v>
      </c>
      <c r="B155" s="154"/>
      <c r="C155" s="154"/>
      <c r="D155" s="154"/>
      <c r="E155" s="154"/>
      <c r="F155" s="154"/>
      <c r="G155" s="143"/>
      <c r="H155" s="155">
        <f>SUM(H135:J154)</f>
        <v>95</v>
      </c>
      <c r="I155" s="195"/>
      <c r="J155" s="196"/>
      <c r="K155" s="158">
        <f>SUM(K135:L154)</f>
        <v>7050</v>
      </c>
      <c r="L155" s="159"/>
      <c r="M155" s="160"/>
      <c r="N155" s="161"/>
      <c r="O155" s="162"/>
      <c r="P155" s="19"/>
    </row>
    <row r="157" spans="1:20" ht="31.9" customHeight="1" x14ac:dyDescent="0.25">
      <c r="A157" s="164" t="s">
        <v>22</v>
      </c>
      <c r="B157" s="165"/>
      <c r="C157" s="165"/>
      <c r="D157" s="166" t="str">
        <f>D117</f>
        <v>MD.RANA</v>
      </c>
      <c r="E157" s="166"/>
      <c r="F157" s="166"/>
      <c r="G157" s="165" t="s">
        <v>23</v>
      </c>
      <c r="H157" s="165"/>
      <c r="I157" s="165"/>
      <c r="J157" s="165"/>
      <c r="K157" s="165"/>
      <c r="L157" s="165"/>
      <c r="M157" s="167" t="str">
        <f>M117</f>
        <v>01716-158891</v>
      </c>
      <c r="N157" s="167"/>
      <c r="O157" s="167"/>
      <c r="P157" s="168"/>
    </row>
    <row r="158" spans="1:20" ht="31.9" customHeight="1" x14ac:dyDescent="0.25">
      <c r="A158" s="169" t="s">
        <v>24</v>
      </c>
      <c r="B158" s="170"/>
      <c r="C158" s="170"/>
      <c r="D158" s="171" t="str">
        <f>D118</f>
        <v>OOOO1</v>
      </c>
      <c r="E158" s="171"/>
      <c r="F158" s="171"/>
      <c r="G158" s="170" t="s">
        <v>25</v>
      </c>
      <c r="H158" s="170"/>
      <c r="I158" s="170"/>
      <c r="J158" s="170"/>
      <c r="K158" s="170"/>
      <c r="L158" s="170"/>
      <c r="M158" s="172" t="str">
        <f>M118</f>
        <v>D.M.AO 11-5177</v>
      </c>
      <c r="N158" s="172"/>
      <c r="O158" s="172"/>
      <c r="P158" s="173"/>
    </row>
    <row r="159" spans="1:20" ht="54" customHeight="1" thickBot="1" x14ac:dyDescent="0.3">
      <c r="A159" s="5"/>
      <c r="B159" s="5"/>
      <c r="C159" s="5"/>
      <c r="F159" s="5"/>
      <c r="G159" s="5"/>
      <c r="H159" s="7"/>
      <c r="I159" s="7"/>
      <c r="J159" s="7"/>
      <c r="M159" s="5"/>
      <c r="N159" s="5"/>
      <c r="O159" s="5"/>
      <c r="P159" s="5"/>
    </row>
    <row r="160" spans="1:20" ht="16.899999999999999" customHeight="1" thickTop="1" x14ac:dyDescent="0.25">
      <c r="A160" s="163" t="s">
        <v>18</v>
      </c>
      <c r="B160" s="163"/>
      <c r="C160" s="163"/>
      <c r="D160" s="4"/>
      <c r="E160" s="4"/>
      <c r="F160" s="163" t="s">
        <v>19</v>
      </c>
      <c r="G160" s="163"/>
      <c r="H160" s="37"/>
      <c r="I160" s="37"/>
      <c r="J160" s="37"/>
      <c r="K160" s="4"/>
      <c r="L160" s="163" t="s">
        <v>20</v>
      </c>
      <c r="M160" s="163"/>
      <c r="N160" s="163"/>
      <c r="O160" s="163"/>
      <c r="P160" s="163"/>
    </row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</sheetData>
  <mergeCells count="600">
    <mergeCell ref="A6:B6"/>
    <mergeCell ref="C6:F6"/>
    <mergeCell ref="H6:J6"/>
    <mergeCell ref="L6:P6"/>
    <mergeCell ref="H7:J7"/>
    <mergeCell ref="L7:P7"/>
    <mergeCell ref="A2:C3"/>
    <mergeCell ref="D2:L3"/>
    <mergeCell ref="M2:P3"/>
    <mergeCell ref="A4:C4"/>
    <mergeCell ref="D4:L4"/>
    <mergeCell ref="A5:B5"/>
    <mergeCell ref="D5:L5"/>
    <mergeCell ref="N5:P5"/>
    <mergeCell ref="C12:G12"/>
    <mergeCell ref="H12:L12"/>
    <mergeCell ref="M12:O14"/>
    <mergeCell ref="P12:P14"/>
    <mergeCell ref="C13:G13"/>
    <mergeCell ref="H13:J14"/>
    <mergeCell ref="K13:L14"/>
    <mergeCell ref="V7:V9"/>
    <mergeCell ref="A8:F10"/>
    <mergeCell ref="H8:J8"/>
    <mergeCell ref="L8:P8"/>
    <mergeCell ref="H9:J11"/>
    <mergeCell ref="K9:K11"/>
    <mergeCell ref="L9:P11"/>
    <mergeCell ref="V10:V12"/>
    <mergeCell ref="A11:B11"/>
    <mergeCell ref="A12:B12"/>
    <mergeCell ref="V13:V15"/>
    <mergeCell ref="A14:B14"/>
    <mergeCell ref="C14:D14"/>
    <mergeCell ref="E14:G14"/>
    <mergeCell ref="B15:G15"/>
    <mergeCell ref="H15:J15"/>
    <mergeCell ref="K15:L15"/>
    <mergeCell ref="M15:O15"/>
    <mergeCell ref="H18:J18"/>
    <mergeCell ref="K18:L18"/>
    <mergeCell ref="M18:O18"/>
    <mergeCell ref="B16:G16"/>
    <mergeCell ref="H16:J16"/>
    <mergeCell ref="K16:L16"/>
    <mergeCell ref="M16:O16"/>
    <mergeCell ref="B22:G22"/>
    <mergeCell ref="H22:J22"/>
    <mergeCell ref="K22:L22"/>
    <mergeCell ref="M22:O22"/>
    <mergeCell ref="V16:V18"/>
    <mergeCell ref="B17:G17"/>
    <mergeCell ref="H17:J17"/>
    <mergeCell ref="K17:L17"/>
    <mergeCell ref="M17:O17"/>
    <mergeCell ref="B18:G18"/>
    <mergeCell ref="B23:G23"/>
    <mergeCell ref="H23:J23"/>
    <mergeCell ref="K23:L23"/>
    <mergeCell ref="M23:O23"/>
    <mergeCell ref="V19:V21"/>
    <mergeCell ref="B20:G20"/>
    <mergeCell ref="H20:J20"/>
    <mergeCell ref="K20:L20"/>
    <mergeCell ref="M20:O20"/>
    <mergeCell ref="B21:G21"/>
    <mergeCell ref="H21:J21"/>
    <mergeCell ref="K21:L21"/>
    <mergeCell ref="M21:O21"/>
    <mergeCell ref="B19:G19"/>
    <mergeCell ref="H19:J19"/>
    <mergeCell ref="K19:L19"/>
    <mergeCell ref="M19:O19"/>
    <mergeCell ref="B26:G26"/>
    <mergeCell ref="H26:J26"/>
    <mergeCell ref="K26:L26"/>
    <mergeCell ref="M26:O26"/>
    <mergeCell ref="B27:G27"/>
    <mergeCell ref="H27:J27"/>
    <mergeCell ref="K27:L27"/>
    <mergeCell ref="M27:O27"/>
    <mergeCell ref="B24:G24"/>
    <mergeCell ref="H24:J24"/>
    <mergeCell ref="K24:L24"/>
    <mergeCell ref="M24:O24"/>
    <mergeCell ref="B25:G25"/>
    <mergeCell ref="H25:J25"/>
    <mergeCell ref="K25:L25"/>
    <mergeCell ref="M25:O25"/>
    <mergeCell ref="B30:G30"/>
    <mergeCell ref="H30:J30"/>
    <mergeCell ref="K30:L30"/>
    <mergeCell ref="M30:O30"/>
    <mergeCell ref="B31:G31"/>
    <mergeCell ref="H31:J31"/>
    <mergeCell ref="K31:L31"/>
    <mergeCell ref="M31:O31"/>
    <mergeCell ref="B28:G28"/>
    <mergeCell ref="H28:J28"/>
    <mergeCell ref="K28:L28"/>
    <mergeCell ref="M28:O28"/>
    <mergeCell ref="B29:G29"/>
    <mergeCell ref="H29:J29"/>
    <mergeCell ref="K29:L29"/>
    <mergeCell ref="M29:O29"/>
    <mergeCell ref="B34:G34"/>
    <mergeCell ref="H34:J34"/>
    <mergeCell ref="K34:L34"/>
    <mergeCell ref="M34:O34"/>
    <mergeCell ref="A35:G35"/>
    <mergeCell ref="H35:J35"/>
    <mergeCell ref="K35:L35"/>
    <mergeCell ref="M35:O35"/>
    <mergeCell ref="B32:G32"/>
    <mergeCell ref="H32:J32"/>
    <mergeCell ref="K32:L32"/>
    <mergeCell ref="M32:O32"/>
    <mergeCell ref="B33:G33"/>
    <mergeCell ref="H33:J33"/>
    <mergeCell ref="K33:L33"/>
    <mergeCell ref="M33:O33"/>
    <mergeCell ref="A40:C40"/>
    <mergeCell ref="F40:G40"/>
    <mergeCell ref="L40:P40"/>
    <mergeCell ref="A42:C43"/>
    <mergeCell ref="D42:L43"/>
    <mergeCell ref="M42:P43"/>
    <mergeCell ref="A37:C37"/>
    <mergeCell ref="D37:F37"/>
    <mergeCell ref="G37:L37"/>
    <mergeCell ref="M37:P37"/>
    <mergeCell ref="A38:C38"/>
    <mergeCell ref="D38:F38"/>
    <mergeCell ref="G38:L38"/>
    <mergeCell ref="M38:P38"/>
    <mergeCell ref="H47:J47"/>
    <mergeCell ref="L47:P47"/>
    <mergeCell ref="R47:R49"/>
    <mergeCell ref="S47:S49"/>
    <mergeCell ref="T47:T49"/>
    <mergeCell ref="V47:V49"/>
    <mergeCell ref="A44:C44"/>
    <mergeCell ref="D44:L44"/>
    <mergeCell ref="A45:B45"/>
    <mergeCell ref="D45:L45"/>
    <mergeCell ref="N45:P45"/>
    <mergeCell ref="A46:B46"/>
    <mergeCell ref="C46:F46"/>
    <mergeCell ref="H46:J46"/>
    <mergeCell ref="L46:P46"/>
    <mergeCell ref="R50:R52"/>
    <mergeCell ref="S50:S52"/>
    <mergeCell ref="T50:T52"/>
    <mergeCell ref="V50:V52"/>
    <mergeCell ref="A51:B51"/>
    <mergeCell ref="A52:B52"/>
    <mergeCell ref="C52:G52"/>
    <mergeCell ref="H52:L52"/>
    <mergeCell ref="M52:O54"/>
    <mergeCell ref="P52:P54"/>
    <mergeCell ref="A48:F50"/>
    <mergeCell ref="H48:J48"/>
    <mergeCell ref="L48:P48"/>
    <mergeCell ref="H49:J51"/>
    <mergeCell ref="K49:K51"/>
    <mergeCell ref="L49:P51"/>
    <mergeCell ref="V53:V55"/>
    <mergeCell ref="A54:B54"/>
    <mergeCell ref="C54:D54"/>
    <mergeCell ref="E54:G54"/>
    <mergeCell ref="B55:G55"/>
    <mergeCell ref="H55:J55"/>
    <mergeCell ref="K55:L55"/>
    <mergeCell ref="M55:O55"/>
    <mergeCell ref="C53:G53"/>
    <mergeCell ref="H53:J54"/>
    <mergeCell ref="K53:L54"/>
    <mergeCell ref="R53:R55"/>
    <mergeCell ref="S53:S55"/>
    <mergeCell ref="T53:T55"/>
    <mergeCell ref="T56:T58"/>
    <mergeCell ref="V56:V58"/>
    <mergeCell ref="B57:G57"/>
    <mergeCell ref="H57:J57"/>
    <mergeCell ref="K57:L57"/>
    <mergeCell ref="M57:O57"/>
    <mergeCell ref="B58:G58"/>
    <mergeCell ref="H58:J58"/>
    <mergeCell ref="K58:L58"/>
    <mergeCell ref="M58:O58"/>
    <mergeCell ref="B56:G56"/>
    <mergeCell ref="H56:J56"/>
    <mergeCell ref="K56:L56"/>
    <mergeCell ref="M56:O56"/>
    <mergeCell ref="R56:R58"/>
    <mergeCell ref="S56:S58"/>
    <mergeCell ref="T59:T61"/>
    <mergeCell ref="V59:V61"/>
    <mergeCell ref="B60:G60"/>
    <mergeCell ref="H60:J60"/>
    <mergeCell ref="K60:L60"/>
    <mergeCell ref="M60:O60"/>
    <mergeCell ref="B61:G61"/>
    <mergeCell ref="H61:J61"/>
    <mergeCell ref="K61:L61"/>
    <mergeCell ref="M61:O61"/>
    <mergeCell ref="B59:G59"/>
    <mergeCell ref="H59:J59"/>
    <mergeCell ref="K59:L59"/>
    <mergeCell ref="M59:O59"/>
    <mergeCell ref="R59:R61"/>
    <mergeCell ref="S59:S61"/>
    <mergeCell ref="T62:T64"/>
    <mergeCell ref="B63:G63"/>
    <mergeCell ref="H63:J63"/>
    <mergeCell ref="K63:L63"/>
    <mergeCell ref="M63:O63"/>
    <mergeCell ref="B64:G64"/>
    <mergeCell ref="H64:J64"/>
    <mergeCell ref="K64:L64"/>
    <mergeCell ref="M64:O64"/>
    <mergeCell ref="B62:G62"/>
    <mergeCell ref="H62:J62"/>
    <mergeCell ref="K62:L62"/>
    <mergeCell ref="M62:O62"/>
    <mergeCell ref="R62:R64"/>
    <mergeCell ref="S62:S64"/>
    <mergeCell ref="T65:T67"/>
    <mergeCell ref="B66:G66"/>
    <mergeCell ref="H66:J66"/>
    <mergeCell ref="K66:L66"/>
    <mergeCell ref="M66:O66"/>
    <mergeCell ref="B67:G67"/>
    <mergeCell ref="H67:J67"/>
    <mergeCell ref="K67:L67"/>
    <mergeCell ref="M67:O67"/>
    <mergeCell ref="B65:G65"/>
    <mergeCell ref="H65:J65"/>
    <mergeCell ref="K65:L65"/>
    <mergeCell ref="M65:O65"/>
    <mergeCell ref="R65:R67"/>
    <mergeCell ref="S65:S67"/>
    <mergeCell ref="T68:T70"/>
    <mergeCell ref="B69:G69"/>
    <mergeCell ref="H69:J69"/>
    <mergeCell ref="K69:L69"/>
    <mergeCell ref="M69:O69"/>
    <mergeCell ref="B70:G70"/>
    <mergeCell ref="H70:J70"/>
    <mergeCell ref="K70:L70"/>
    <mergeCell ref="M70:O70"/>
    <mergeCell ref="B68:G68"/>
    <mergeCell ref="H68:J68"/>
    <mergeCell ref="K68:L68"/>
    <mergeCell ref="M68:O68"/>
    <mergeCell ref="R68:R70"/>
    <mergeCell ref="S68:S70"/>
    <mergeCell ref="B73:G73"/>
    <mergeCell ref="H73:J73"/>
    <mergeCell ref="K73:L73"/>
    <mergeCell ref="M73:O73"/>
    <mergeCell ref="B74:G74"/>
    <mergeCell ref="H74:J74"/>
    <mergeCell ref="K74:L74"/>
    <mergeCell ref="M74:O74"/>
    <mergeCell ref="B71:G71"/>
    <mergeCell ref="H71:J71"/>
    <mergeCell ref="K71:L71"/>
    <mergeCell ref="M71:O71"/>
    <mergeCell ref="B72:G72"/>
    <mergeCell ref="H72:J72"/>
    <mergeCell ref="K72:L72"/>
    <mergeCell ref="M72:O72"/>
    <mergeCell ref="A78:C78"/>
    <mergeCell ref="D78:F78"/>
    <mergeCell ref="G78:L78"/>
    <mergeCell ref="M78:P78"/>
    <mergeCell ref="A80:C80"/>
    <mergeCell ref="F80:G80"/>
    <mergeCell ref="L80:P80"/>
    <mergeCell ref="A75:G75"/>
    <mergeCell ref="H75:J75"/>
    <mergeCell ref="K75:L75"/>
    <mergeCell ref="M75:O75"/>
    <mergeCell ref="A77:C77"/>
    <mergeCell ref="D77:F77"/>
    <mergeCell ref="G77:L77"/>
    <mergeCell ref="M77:P77"/>
    <mergeCell ref="C94:D94"/>
    <mergeCell ref="E94:G94"/>
    <mergeCell ref="A86:B86"/>
    <mergeCell ref="C86:F86"/>
    <mergeCell ref="H86:J86"/>
    <mergeCell ref="L86:P86"/>
    <mergeCell ref="H87:J87"/>
    <mergeCell ref="L87:P87"/>
    <mergeCell ref="A82:C83"/>
    <mergeCell ref="D82:L83"/>
    <mergeCell ref="M82:P83"/>
    <mergeCell ref="A84:C84"/>
    <mergeCell ref="D84:L84"/>
    <mergeCell ref="A85:B85"/>
    <mergeCell ref="D85:L85"/>
    <mergeCell ref="N85:P85"/>
    <mergeCell ref="R93:R95"/>
    <mergeCell ref="S93:S95"/>
    <mergeCell ref="R87:R89"/>
    <mergeCell ref="S87:S89"/>
    <mergeCell ref="T87:T89"/>
    <mergeCell ref="V87:V89"/>
    <mergeCell ref="A88:F90"/>
    <mergeCell ref="H88:J88"/>
    <mergeCell ref="L88:P88"/>
    <mergeCell ref="H89:J91"/>
    <mergeCell ref="K89:K91"/>
    <mergeCell ref="L89:P91"/>
    <mergeCell ref="R90:R92"/>
    <mergeCell ref="S90:S92"/>
    <mergeCell ref="T90:T92"/>
    <mergeCell ref="V90:V92"/>
    <mergeCell ref="A91:B91"/>
    <mergeCell ref="A92:B92"/>
    <mergeCell ref="C92:G92"/>
    <mergeCell ref="H92:L92"/>
    <mergeCell ref="M92:O94"/>
    <mergeCell ref="P92:P94"/>
    <mergeCell ref="V93:V95"/>
    <mergeCell ref="A94:B94"/>
    <mergeCell ref="T93:T95"/>
    <mergeCell ref="T96:T98"/>
    <mergeCell ref="V96:V98"/>
    <mergeCell ref="B97:G97"/>
    <mergeCell ref="H97:J97"/>
    <mergeCell ref="K97:L97"/>
    <mergeCell ref="M97:O97"/>
    <mergeCell ref="B98:G98"/>
    <mergeCell ref="H98:J98"/>
    <mergeCell ref="K98:L98"/>
    <mergeCell ref="M98:O98"/>
    <mergeCell ref="B96:G96"/>
    <mergeCell ref="H96:J96"/>
    <mergeCell ref="K96:L96"/>
    <mergeCell ref="M96:O96"/>
    <mergeCell ref="R96:R98"/>
    <mergeCell ref="S96:S98"/>
    <mergeCell ref="B95:G95"/>
    <mergeCell ref="H95:J95"/>
    <mergeCell ref="K95:L95"/>
    <mergeCell ref="M95:O95"/>
    <mergeCell ref="C93:G93"/>
    <mergeCell ref="H93:J94"/>
    <mergeCell ref="K93:L94"/>
    <mergeCell ref="T99:T101"/>
    <mergeCell ref="V99:V101"/>
    <mergeCell ref="B100:G100"/>
    <mergeCell ref="H100:J100"/>
    <mergeCell ref="K100:L100"/>
    <mergeCell ref="M100:O100"/>
    <mergeCell ref="B101:G101"/>
    <mergeCell ref="H101:J101"/>
    <mergeCell ref="K101:L101"/>
    <mergeCell ref="M101:O101"/>
    <mergeCell ref="B99:G99"/>
    <mergeCell ref="H99:J99"/>
    <mergeCell ref="K99:L99"/>
    <mergeCell ref="M99:O99"/>
    <mergeCell ref="R99:R101"/>
    <mergeCell ref="S99:S101"/>
    <mergeCell ref="T102:T104"/>
    <mergeCell ref="B103:G103"/>
    <mergeCell ref="H103:J103"/>
    <mergeCell ref="K103:L103"/>
    <mergeCell ref="M103:O103"/>
    <mergeCell ref="B104:G104"/>
    <mergeCell ref="H104:J104"/>
    <mergeCell ref="K104:L104"/>
    <mergeCell ref="M104:O104"/>
    <mergeCell ref="B102:G102"/>
    <mergeCell ref="H102:J102"/>
    <mergeCell ref="K102:L102"/>
    <mergeCell ref="M102:O102"/>
    <mergeCell ref="R102:R104"/>
    <mergeCell ref="S102:S104"/>
    <mergeCell ref="T105:T107"/>
    <mergeCell ref="B106:G106"/>
    <mergeCell ref="H106:J106"/>
    <mergeCell ref="K106:L106"/>
    <mergeCell ref="M106:O106"/>
    <mergeCell ref="B107:G107"/>
    <mergeCell ref="H107:J107"/>
    <mergeCell ref="K107:L107"/>
    <mergeCell ref="M107:O107"/>
    <mergeCell ref="B105:G105"/>
    <mergeCell ref="H105:J105"/>
    <mergeCell ref="K105:L105"/>
    <mergeCell ref="M105:O105"/>
    <mergeCell ref="R105:R107"/>
    <mergeCell ref="S105:S107"/>
    <mergeCell ref="T108:T110"/>
    <mergeCell ref="B109:G109"/>
    <mergeCell ref="H109:J109"/>
    <mergeCell ref="K109:L109"/>
    <mergeCell ref="M109:O109"/>
    <mergeCell ref="B110:G110"/>
    <mergeCell ref="H110:J110"/>
    <mergeCell ref="K110:L110"/>
    <mergeCell ref="M110:O110"/>
    <mergeCell ref="B108:G108"/>
    <mergeCell ref="H108:J108"/>
    <mergeCell ref="K108:L108"/>
    <mergeCell ref="M108:O108"/>
    <mergeCell ref="R108:R110"/>
    <mergeCell ref="S108:S110"/>
    <mergeCell ref="B113:G113"/>
    <mergeCell ref="H113:J113"/>
    <mergeCell ref="K113:L113"/>
    <mergeCell ref="M113:O113"/>
    <mergeCell ref="B114:G114"/>
    <mergeCell ref="H114:J114"/>
    <mergeCell ref="K114:L114"/>
    <mergeCell ref="M114:O114"/>
    <mergeCell ref="B111:G111"/>
    <mergeCell ref="H111:J111"/>
    <mergeCell ref="K111:L111"/>
    <mergeCell ref="M111:O111"/>
    <mergeCell ref="B112:G112"/>
    <mergeCell ref="H112:J112"/>
    <mergeCell ref="K112:L112"/>
    <mergeCell ref="M112:O112"/>
    <mergeCell ref="A118:C118"/>
    <mergeCell ref="D118:F118"/>
    <mergeCell ref="G118:L118"/>
    <mergeCell ref="M118:P118"/>
    <mergeCell ref="A120:C120"/>
    <mergeCell ref="F120:G120"/>
    <mergeCell ref="L120:P120"/>
    <mergeCell ref="A115:G115"/>
    <mergeCell ref="H115:J115"/>
    <mergeCell ref="K115:L115"/>
    <mergeCell ref="M115:O115"/>
    <mergeCell ref="A117:C117"/>
    <mergeCell ref="D117:F117"/>
    <mergeCell ref="G117:L117"/>
    <mergeCell ref="M117:P117"/>
    <mergeCell ref="C134:D134"/>
    <mergeCell ref="E134:G134"/>
    <mergeCell ref="A126:B126"/>
    <mergeCell ref="C126:F126"/>
    <mergeCell ref="H126:J126"/>
    <mergeCell ref="L126:P126"/>
    <mergeCell ref="H127:J127"/>
    <mergeCell ref="L127:P127"/>
    <mergeCell ref="A122:C123"/>
    <mergeCell ref="D122:L123"/>
    <mergeCell ref="M122:P123"/>
    <mergeCell ref="A124:C124"/>
    <mergeCell ref="D124:L124"/>
    <mergeCell ref="A125:B125"/>
    <mergeCell ref="D125:L125"/>
    <mergeCell ref="N125:P125"/>
    <mergeCell ref="R133:R135"/>
    <mergeCell ref="S133:S135"/>
    <mergeCell ref="R127:R129"/>
    <mergeCell ref="S127:S129"/>
    <mergeCell ref="T127:T129"/>
    <mergeCell ref="V127:V129"/>
    <mergeCell ref="A128:F130"/>
    <mergeCell ref="H128:J128"/>
    <mergeCell ref="L128:P128"/>
    <mergeCell ref="H129:J131"/>
    <mergeCell ref="K129:K131"/>
    <mergeCell ref="L129:P131"/>
    <mergeCell ref="R130:R132"/>
    <mergeCell ref="S130:S132"/>
    <mergeCell ref="T130:T132"/>
    <mergeCell ref="V130:V132"/>
    <mergeCell ref="A131:B131"/>
    <mergeCell ref="A132:B132"/>
    <mergeCell ref="C132:G132"/>
    <mergeCell ref="H132:L132"/>
    <mergeCell ref="M132:O134"/>
    <mergeCell ref="P132:P134"/>
    <mergeCell ref="V133:V135"/>
    <mergeCell ref="A134:B134"/>
    <mergeCell ref="T133:T135"/>
    <mergeCell ref="T136:T138"/>
    <mergeCell ref="V136:V138"/>
    <mergeCell ref="B137:G137"/>
    <mergeCell ref="H137:J137"/>
    <mergeCell ref="K137:L137"/>
    <mergeCell ref="M137:O137"/>
    <mergeCell ref="B138:G138"/>
    <mergeCell ref="H138:J138"/>
    <mergeCell ref="K138:L138"/>
    <mergeCell ref="M138:O138"/>
    <mergeCell ref="B136:G136"/>
    <mergeCell ref="H136:J136"/>
    <mergeCell ref="K136:L136"/>
    <mergeCell ref="M136:O136"/>
    <mergeCell ref="R136:R138"/>
    <mergeCell ref="S136:S138"/>
    <mergeCell ref="B135:G135"/>
    <mergeCell ref="H135:J135"/>
    <mergeCell ref="K135:L135"/>
    <mergeCell ref="M135:O135"/>
    <mergeCell ref="C133:G133"/>
    <mergeCell ref="H133:J134"/>
    <mergeCell ref="K133:L134"/>
    <mergeCell ref="T139:T141"/>
    <mergeCell ref="V139:V141"/>
    <mergeCell ref="B140:G140"/>
    <mergeCell ref="H140:J140"/>
    <mergeCell ref="K140:L140"/>
    <mergeCell ref="M140:O140"/>
    <mergeCell ref="B141:G141"/>
    <mergeCell ref="H141:J141"/>
    <mergeCell ref="K141:L141"/>
    <mergeCell ref="M141:O141"/>
    <mergeCell ref="B139:G139"/>
    <mergeCell ref="H139:J139"/>
    <mergeCell ref="K139:L139"/>
    <mergeCell ref="M139:O139"/>
    <mergeCell ref="R139:R141"/>
    <mergeCell ref="S139:S141"/>
    <mergeCell ref="T142:T144"/>
    <mergeCell ref="B143:G143"/>
    <mergeCell ref="H143:J143"/>
    <mergeCell ref="K143:L143"/>
    <mergeCell ref="M143:O143"/>
    <mergeCell ref="B144:G144"/>
    <mergeCell ref="H144:J144"/>
    <mergeCell ref="K144:L144"/>
    <mergeCell ref="M144:O144"/>
    <mergeCell ref="B142:G142"/>
    <mergeCell ref="H142:J142"/>
    <mergeCell ref="K142:L142"/>
    <mergeCell ref="M142:O142"/>
    <mergeCell ref="R142:R144"/>
    <mergeCell ref="S142:S144"/>
    <mergeCell ref="T145:T147"/>
    <mergeCell ref="B146:G146"/>
    <mergeCell ref="H146:J146"/>
    <mergeCell ref="K146:L146"/>
    <mergeCell ref="M146:O146"/>
    <mergeCell ref="B147:G147"/>
    <mergeCell ref="H147:J147"/>
    <mergeCell ref="K147:L147"/>
    <mergeCell ref="M147:O147"/>
    <mergeCell ref="B145:G145"/>
    <mergeCell ref="H145:J145"/>
    <mergeCell ref="K145:L145"/>
    <mergeCell ref="M145:O145"/>
    <mergeCell ref="R145:R147"/>
    <mergeCell ref="S145:S147"/>
    <mergeCell ref="T148:T150"/>
    <mergeCell ref="B149:G149"/>
    <mergeCell ref="H149:J149"/>
    <mergeCell ref="K149:L149"/>
    <mergeCell ref="M149:O149"/>
    <mergeCell ref="B150:G150"/>
    <mergeCell ref="H150:J150"/>
    <mergeCell ref="K150:L150"/>
    <mergeCell ref="M150:O150"/>
    <mergeCell ref="B148:G148"/>
    <mergeCell ref="H148:J148"/>
    <mergeCell ref="K148:L148"/>
    <mergeCell ref="M148:O148"/>
    <mergeCell ref="R148:R150"/>
    <mergeCell ref="S148:S150"/>
    <mergeCell ref="B153:G153"/>
    <mergeCell ref="H153:J153"/>
    <mergeCell ref="K153:L153"/>
    <mergeCell ref="M153:O153"/>
    <mergeCell ref="B154:G154"/>
    <mergeCell ref="H154:J154"/>
    <mergeCell ref="K154:L154"/>
    <mergeCell ref="M154:O154"/>
    <mergeCell ref="B151:G151"/>
    <mergeCell ref="H151:J151"/>
    <mergeCell ref="K151:L151"/>
    <mergeCell ref="M151:O151"/>
    <mergeCell ref="B152:G152"/>
    <mergeCell ref="H152:J152"/>
    <mergeCell ref="K152:L152"/>
    <mergeCell ref="M152:O152"/>
    <mergeCell ref="A158:C158"/>
    <mergeCell ref="D158:F158"/>
    <mergeCell ref="G158:L158"/>
    <mergeCell ref="M158:P158"/>
    <mergeCell ref="A160:C160"/>
    <mergeCell ref="F160:G160"/>
    <mergeCell ref="L160:P160"/>
    <mergeCell ref="A155:G155"/>
    <mergeCell ref="H155:J155"/>
    <mergeCell ref="K155:L155"/>
    <mergeCell ref="M155:O155"/>
    <mergeCell ref="A157:C157"/>
    <mergeCell ref="D157:F157"/>
    <mergeCell ref="G157:L157"/>
    <mergeCell ref="M157:P157"/>
  </mergeCells>
  <dataValidations count="4">
    <dataValidation type="list" allowBlank="1" showInputMessage="1" showErrorMessage="1" sqref="L8:P8 L48:P48 L88:P88 L128:P128" xr:uid="{6BECCEF2-AE7B-4C78-A3FF-0ABB313FE85E}">
      <formula1>Mode</formula1>
    </dataValidation>
    <dataValidation type="list" allowBlank="1" showInputMessage="1" showErrorMessage="1" sqref="A8 A48 A88 A128" xr:uid="{C6362526-D728-4F90-99D9-ED3099206C3A}">
      <formula1>$T$7:$T$35</formula1>
    </dataValidation>
    <dataValidation type="list" allowBlank="1" showInputMessage="1" showErrorMessage="1" sqref="L9:P11 L49:P51 L89:P91 L129:P131" xr:uid="{8B8EF71C-ED2D-4C6E-93D4-23C7D314649B}">
      <formula1>Carrier</formula1>
    </dataValidation>
    <dataValidation type="list" allowBlank="1" showInputMessage="1" showErrorMessage="1" sqref="C14:D14 C94:D94 C54:D54 C134:D134" xr:uid="{7A91808B-3784-421C-9F0B-9E8176299F86}">
      <formula1>$W$7:$W$161</formula1>
    </dataValidation>
  </dataValidations>
  <pageMargins left="0.23622047244094491" right="0.23622047244094491" top="0.23622047244094491" bottom="3.937007874015748E-2" header="0.31496062992125984" footer="0.31496062992125984"/>
  <pageSetup paperSize="9" scale="77" orientation="portrait" r:id="rId1"/>
  <rowBreaks count="3" manualBreakCount="3">
    <brk id="41" max="15" man="1"/>
    <brk id="80" max="15" man="1"/>
    <brk id="121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128</vt:i4>
      </vt:variant>
    </vt:vector>
  </HeadingPairs>
  <TitlesOfParts>
    <vt:vector size="144" baseType="lpstr">
      <vt:lpstr>EBIL</vt:lpstr>
      <vt:lpstr>New Challan Formet 7th (2)</vt:lpstr>
      <vt:lpstr>hellmann</vt:lpstr>
      <vt:lpstr>NIPPON</vt:lpstr>
      <vt:lpstr>SAPL</vt:lpstr>
      <vt:lpstr>New Challan Formet 7th (6)</vt:lpstr>
      <vt:lpstr>OCL</vt:lpstr>
      <vt:lpstr>OCL1</vt:lpstr>
      <vt:lpstr>VERTEX</vt:lpstr>
      <vt:lpstr>New Challan Formet 7th (10)</vt:lpstr>
      <vt:lpstr>SAPL1</vt:lpstr>
      <vt:lpstr>New Challan Formet 7th (12)</vt:lpstr>
      <vt:lpstr>VERTEX1</vt:lpstr>
      <vt:lpstr>SAPL2</vt:lpstr>
      <vt:lpstr>EBIL1</vt:lpstr>
      <vt:lpstr>OCL2</vt:lpstr>
      <vt:lpstr>EBIL!Buyer</vt:lpstr>
      <vt:lpstr>EBIL1!Buyer</vt:lpstr>
      <vt:lpstr>hellmann!Buyer</vt:lpstr>
      <vt:lpstr>'New Challan Formet 7th (10)'!Buyer</vt:lpstr>
      <vt:lpstr>'New Challan Formet 7th (12)'!Buyer</vt:lpstr>
      <vt:lpstr>'New Challan Formet 7th (2)'!Buyer</vt:lpstr>
      <vt:lpstr>'New Challan Formet 7th (6)'!Buyer</vt:lpstr>
      <vt:lpstr>NIPPON!Buyer</vt:lpstr>
      <vt:lpstr>OCL!Buyer</vt:lpstr>
      <vt:lpstr>'OCL1'!Buyer</vt:lpstr>
      <vt:lpstr>'OCL2'!Buyer</vt:lpstr>
      <vt:lpstr>SAPL!Buyer</vt:lpstr>
      <vt:lpstr>SAPL1!Buyer</vt:lpstr>
      <vt:lpstr>SAPL2!Buyer</vt:lpstr>
      <vt:lpstr>VERTEX!Buyer</vt:lpstr>
      <vt:lpstr>VERTEX1!Buyer</vt:lpstr>
      <vt:lpstr>EBIL!Buyer2</vt:lpstr>
      <vt:lpstr>EBIL1!Buyer2</vt:lpstr>
      <vt:lpstr>hellmann!Buyer2</vt:lpstr>
      <vt:lpstr>'New Challan Formet 7th (10)'!Buyer2</vt:lpstr>
      <vt:lpstr>'New Challan Formet 7th (12)'!Buyer2</vt:lpstr>
      <vt:lpstr>'New Challan Formet 7th (2)'!Buyer2</vt:lpstr>
      <vt:lpstr>'New Challan Formet 7th (6)'!Buyer2</vt:lpstr>
      <vt:lpstr>NIPPON!Buyer2</vt:lpstr>
      <vt:lpstr>OCL!Buyer2</vt:lpstr>
      <vt:lpstr>'OCL1'!Buyer2</vt:lpstr>
      <vt:lpstr>'OCL2'!Buyer2</vt:lpstr>
      <vt:lpstr>SAPL!Buyer2</vt:lpstr>
      <vt:lpstr>SAPL1!Buyer2</vt:lpstr>
      <vt:lpstr>SAPL2!Buyer2</vt:lpstr>
      <vt:lpstr>VERTEX!Buyer2</vt:lpstr>
      <vt:lpstr>VERTEX1!Buyer2</vt:lpstr>
      <vt:lpstr>EBIL!Buyer3</vt:lpstr>
      <vt:lpstr>EBIL1!Buyer3</vt:lpstr>
      <vt:lpstr>hellmann!Buyer3</vt:lpstr>
      <vt:lpstr>'New Challan Formet 7th (10)'!Buyer3</vt:lpstr>
      <vt:lpstr>'New Challan Formet 7th (12)'!Buyer3</vt:lpstr>
      <vt:lpstr>'New Challan Formet 7th (2)'!Buyer3</vt:lpstr>
      <vt:lpstr>'New Challan Formet 7th (6)'!Buyer3</vt:lpstr>
      <vt:lpstr>NIPPON!Buyer3</vt:lpstr>
      <vt:lpstr>OCL!Buyer3</vt:lpstr>
      <vt:lpstr>'OCL1'!Buyer3</vt:lpstr>
      <vt:lpstr>'OCL2'!Buyer3</vt:lpstr>
      <vt:lpstr>SAPL!Buyer3</vt:lpstr>
      <vt:lpstr>SAPL1!Buyer3</vt:lpstr>
      <vt:lpstr>SAPL2!Buyer3</vt:lpstr>
      <vt:lpstr>VERTEX!Buyer3</vt:lpstr>
      <vt:lpstr>VERTEX1!Buyer3</vt:lpstr>
      <vt:lpstr>EBIL!Carrier</vt:lpstr>
      <vt:lpstr>EBIL1!Carrier</vt:lpstr>
      <vt:lpstr>hellmann!Carrier</vt:lpstr>
      <vt:lpstr>'New Challan Formet 7th (10)'!Carrier</vt:lpstr>
      <vt:lpstr>'New Challan Formet 7th (12)'!Carrier</vt:lpstr>
      <vt:lpstr>'New Challan Formet 7th (2)'!Carrier</vt:lpstr>
      <vt:lpstr>'New Challan Formet 7th (6)'!Carrier</vt:lpstr>
      <vt:lpstr>NIPPON!Carrier</vt:lpstr>
      <vt:lpstr>OCL!Carrier</vt:lpstr>
      <vt:lpstr>'OCL1'!Carrier</vt:lpstr>
      <vt:lpstr>'OCL2'!Carrier</vt:lpstr>
      <vt:lpstr>SAPL!Carrier</vt:lpstr>
      <vt:lpstr>SAPL1!Carrier</vt:lpstr>
      <vt:lpstr>SAPL2!Carrier</vt:lpstr>
      <vt:lpstr>VERTEX!Carrier</vt:lpstr>
      <vt:lpstr>VERTEX1!Carrier</vt:lpstr>
      <vt:lpstr>EBIL!Esak</vt:lpstr>
      <vt:lpstr>EBIL1!Esak</vt:lpstr>
      <vt:lpstr>hellmann!Esak</vt:lpstr>
      <vt:lpstr>'New Challan Formet 7th (10)'!Esak</vt:lpstr>
      <vt:lpstr>'New Challan Formet 7th (12)'!Esak</vt:lpstr>
      <vt:lpstr>'New Challan Formet 7th (2)'!Esak</vt:lpstr>
      <vt:lpstr>'New Challan Formet 7th (6)'!Esak</vt:lpstr>
      <vt:lpstr>NIPPON!Esak</vt:lpstr>
      <vt:lpstr>OCL!Esak</vt:lpstr>
      <vt:lpstr>'OCL1'!Esak</vt:lpstr>
      <vt:lpstr>'OCL2'!Esak</vt:lpstr>
      <vt:lpstr>SAPL!Esak</vt:lpstr>
      <vt:lpstr>SAPL1!Esak</vt:lpstr>
      <vt:lpstr>SAPL2!Esak</vt:lpstr>
      <vt:lpstr>VERTEX!Esak</vt:lpstr>
      <vt:lpstr>VERTEX1!Esak</vt:lpstr>
      <vt:lpstr>EBIL!Mode</vt:lpstr>
      <vt:lpstr>EBIL1!Mode</vt:lpstr>
      <vt:lpstr>hellmann!Mode</vt:lpstr>
      <vt:lpstr>'New Challan Formet 7th (10)'!Mode</vt:lpstr>
      <vt:lpstr>'New Challan Formet 7th (12)'!Mode</vt:lpstr>
      <vt:lpstr>'New Challan Formet 7th (2)'!Mode</vt:lpstr>
      <vt:lpstr>'New Challan Formet 7th (6)'!Mode</vt:lpstr>
      <vt:lpstr>NIPPON!Mode</vt:lpstr>
      <vt:lpstr>OCL!Mode</vt:lpstr>
      <vt:lpstr>'OCL1'!Mode</vt:lpstr>
      <vt:lpstr>'OCL2'!Mode</vt:lpstr>
      <vt:lpstr>SAPL!Mode</vt:lpstr>
      <vt:lpstr>SAPL1!Mode</vt:lpstr>
      <vt:lpstr>SAPL2!Mode</vt:lpstr>
      <vt:lpstr>VERTEX!Mode</vt:lpstr>
      <vt:lpstr>VERTEX1!Mode</vt:lpstr>
      <vt:lpstr>EBIL!Print_Area</vt:lpstr>
      <vt:lpstr>EBIL1!Print_Area</vt:lpstr>
      <vt:lpstr>hellmann!Print_Area</vt:lpstr>
      <vt:lpstr>'New Challan Formet 7th (10)'!Print_Area</vt:lpstr>
      <vt:lpstr>'New Challan Formet 7th (12)'!Print_Area</vt:lpstr>
      <vt:lpstr>'New Challan Formet 7th (2)'!Print_Area</vt:lpstr>
      <vt:lpstr>'New Challan Formet 7th (6)'!Print_Area</vt:lpstr>
      <vt:lpstr>NIPPON!Print_Area</vt:lpstr>
      <vt:lpstr>OCL!Print_Area</vt:lpstr>
      <vt:lpstr>'OCL1'!Print_Area</vt:lpstr>
      <vt:lpstr>'OCL2'!Print_Area</vt:lpstr>
      <vt:lpstr>SAPL!Print_Area</vt:lpstr>
      <vt:lpstr>SAPL1!Print_Area</vt:lpstr>
      <vt:lpstr>SAPL2!Print_Area</vt:lpstr>
      <vt:lpstr>VERTEX!Print_Area</vt:lpstr>
      <vt:lpstr>VERTEX1!Print_Area</vt:lpstr>
      <vt:lpstr>EBIL!To</vt:lpstr>
      <vt:lpstr>EBIL1!To</vt:lpstr>
      <vt:lpstr>hellmann!To</vt:lpstr>
      <vt:lpstr>'New Challan Formet 7th (10)'!To</vt:lpstr>
      <vt:lpstr>'New Challan Formet 7th (12)'!To</vt:lpstr>
      <vt:lpstr>'New Challan Formet 7th (2)'!To</vt:lpstr>
      <vt:lpstr>'New Challan Formet 7th (6)'!To</vt:lpstr>
      <vt:lpstr>NIPPON!To</vt:lpstr>
      <vt:lpstr>OCL!To</vt:lpstr>
      <vt:lpstr>'OCL1'!To</vt:lpstr>
      <vt:lpstr>'OCL2'!To</vt:lpstr>
      <vt:lpstr>SAPL!To</vt:lpstr>
      <vt:lpstr>SAPL1!To</vt:lpstr>
      <vt:lpstr>SAPL2!To</vt:lpstr>
      <vt:lpstr>VERTEX!To</vt:lpstr>
      <vt:lpstr>VERTEX1!To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Anikul</dc:creator>
  <cp:lastModifiedBy>User</cp:lastModifiedBy>
  <cp:lastPrinted>2025-01-27T01:56:59Z</cp:lastPrinted>
  <dcterms:created xsi:type="dcterms:W3CDTF">2015-06-05T18:17:20Z</dcterms:created>
  <dcterms:modified xsi:type="dcterms:W3CDTF">2025-01-30T11:40:10Z</dcterms:modified>
</cp:coreProperties>
</file>