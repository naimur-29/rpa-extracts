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1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E:\H&amp;M CHALLAN\WEEK-05\"/>
    </mc:Choice>
  </mc:AlternateContent>
  <xr:revisionPtr revIDLastSave="0" documentId="13_ncr:1_{F8B437E1-8E58-4183-9254-EA407752DE2D}" xr6:coauthVersionLast="41" xr6:coauthVersionMax="47" xr10:uidLastSave="{00000000-0000-0000-0000-000000000000}"/>
  <bookViews>
    <workbookView xWindow="-120" yWindow="-120" windowWidth="20730" windowHeight="11160" tabRatio="929" firstSheet="2" activeTab="2" xr2:uid="{00000000-000D-0000-FFFF-FFFF00000000}"/>
  </bookViews>
  <sheets>
    <sheet name="VERTEX1" sheetId="7" r:id="rId1"/>
    <sheet name="SAPL" sheetId="8" r:id="rId2"/>
    <sheet name="SAPL1" sheetId="9" r:id="rId3"/>
    <sheet name="OCL" sheetId="10" r:id="rId4"/>
    <sheet name="New Challan Formet 7th (5)" sheetId="11" r:id="rId5"/>
    <sheet name="OCL1" sheetId="12" r:id="rId6"/>
    <sheet name="New Challan Formet 7th (7)" sheetId="13" r:id="rId7"/>
    <sheet name="VERTEX" sheetId="14" r:id="rId8"/>
    <sheet name="KDS" sheetId="15" r:id="rId9"/>
    <sheet name="New Challan Formet 7th (10)" sheetId="16" r:id="rId10"/>
  </sheets>
  <definedNames>
    <definedName name="Buyer" localSheetId="8">KDS!$W$7:$W$20</definedName>
    <definedName name="Buyer" localSheetId="9">'New Challan Formet 7th (10)'!$W$7:$W$20</definedName>
    <definedName name="Buyer" localSheetId="4">'New Challan Formet 7th (5)'!$W$7:$W$20</definedName>
    <definedName name="Buyer" localSheetId="6">'New Challan Formet 7th (7)'!$W$7:$W$20</definedName>
    <definedName name="Buyer" localSheetId="3">OCL!$W$7:$W$20</definedName>
    <definedName name="Buyer" localSheetId="5">'OCL1'!$W$7:$W$20</definedName>
    <definedName name="Buyer" localSheetId="1">SAPL!$W$7:$W$20</definedName>
    <definedName name="Buyer" localSheetId="2">SAPL1!$W$7:$W$20</definedName>
    <definedName name="Buyer" localSheetId="7">VERTEX!$W$7:$W$20</definedName>
    <definedName name="Buyer" localSheetId="0">VERTEX1!$W$7:$W$20</definedName>
    <definedName name="Buyer">#REF!</definedName>
    <definedName name="Buyer2" localSheetId="8">KDS!$X$7:$X$20</definedName>
    <definedName name="Buyer2" localSheetId="9">'New Challan Formet 7th (10)'!$X$7:$X$20</definedName>
    <definedName name="Buyer2" localSheetId="4">'New Challan Formet 7th (5)'!$X$7:$X$20</definedName>
    <definedName name="Buyer2" localSheetId="6">'New Challan Formet 7th (7)'!$X$7:$X$20</definedName>
    <definedName name="Buyer2" localSheetId="3">OCL!$X$7:$X$20</definedName>
    <definedName name="Buyer2" localSheetId="5">'OCL1'!$X$7:$X$20</definedName>
    <definedName name="Buyer2" localSheetId="1">SAPL!$X$7:$X$20</definedName>
    <definedName name="Buyer2" localSheetId="2">SAPL1!$X$7:$X$20</definedName>
    <definedName name="Buyer2" localSheetId="7">VERTEX!$X$7:$X$20</definedName>
    <definedName name="Buyer2" localSheetId="0">VERTEX1!$X$7:$X$20</definedName>
    <definedName name="Buyer2">#REF!</definedName>
    <definedName name="Buyer3" localSheetId="8">KDS!$Y$7:$Y$20</definedName>
    <definedName name="Buyer3" localSheetId="9">'New Challan Formet 7th (10)'!$Y$7:$Y$20</definedName>
    <definedName name="Buyer3" localSheetId="4">'New Challan Formet 7th (5)'!$Y$7:$Y$20</definedName>
    <definedName name="Buyer3" localSheetId="6">'New Challan Formet 7th (7)'!$Y$7:$Y$20</definedName>
    <definedName name="Buyer3" localSheetId="3">OCL!$Y$7:$Y$20</definedName>
    <definedName name="Buyer3" localSheetId="5">'OCL1'!$Y$7:$Y$20</definedName>
    <definedName name="Buyer3" localSheetId="1">SAPL!$Y$7:$Y$20</definedName>
    <definedName name="Buyer3" localSheetId="2">SAPL1!$Y$7:$Y$20</definedName>
    <definedName name="Buyer3" localSheetId="7">VERTEX!$Y$7:$Y$20</definedName>
    <definedName name="Buyer3" localSheetId="0">VERTEX1!$Y$7:$Y$20</definedName>
    <definedName name="Buyer3">#REF!</definedName>
    <definedName name="Carrier" localSheetId="8">KDS!$V$7:$V$21</definedName>
    <definedName name="Carrier" localSheetId="9">'New Challan Formet 7th (10)'!$V$7:$V$21</definedName>
    <definedName name="Carrier" localSheetId="4">'New Challan Formet 7th (5)'!$V$7:$V$21</definedName>
    <definedName name="Carrier" localSheetId="6">'New Challan Formet 7th (7)'!$V$7:$V$21</definedName>
    <definedName name="Carrier" localSheetId="3">OCL!$V$7:$V$21</definedName>
    <definedName name="Carrier" localSheetId="5">'OCL1'!$V$7:$V$21</definedName>
    <definedName name="Carrier" localSheetId="1">SAPL!$V$7:$V$21</definedName>
    <definedName name="Carrier" localSheetId="2">SAPL1!$V$7:$V$21</definedName>
    <definedName name="Carrier" localSheetId="7">VERTEX!$V$7:$V$21</definedName>
    <definedName name="Carrier" localSheetId="0">VERTEX1!$V$7:$V$21</definedName>
    <definedName name="Carrier">#REF!</definedName>
    <definedName name="Esak" localSheetId="8">KDS!$S$7</definedName>
    <definedName name="Esak" localSheetId="9">'New Challan Formet 7th (10)'!$S$7</definedName>
    <definedName name="Esak" localSheetId="4">'New Challan Formet 7th (5)'!$S$7</definedName>
    <definedName name="Esak" localSheetId="6">'New Challan Formet 7th (7)'!$S$7</definedName>
    <definedName name="Esak" localSheetId="3">OCL!$S$7</definedName>
    <definedName name="Esak" localSheetId="5">'OCL1'!$S$7</definedName>
    <definedName name="Esak" localSheetId="1">SAPL!$S$7</definedName>
    <definedName name="Esak" localSheetId="2">SAPL1!$S$7</definedName>
    <definedName name="Esak" localSheetId="7">VERTEX!$S$7</definedName>
    <definedName name="Esak" localSheetId="0">VERTEX1!$S$7</definedName>
    <definedName name="Esak">#REF!</definedName>
    <definedName name="Mode" localSheetId="8">KDS!$U$7:$U$12</definedName>
    <definedName name="Mode" localSheetId="9">'New Challan Formet 7th (10)'!$U$7:$U$12</definedName>
    <definedName name="Mode" localSheetId="4">'New Challan Formet 7th (5)'!$U$7:$U$12</definedName>
    <definedName name="Mode" localSheetId="6">'New Challan Formet 7th (7)'!$U$7:$U$12</definedName>
    <definedName name="Mode" localSheetId="3">OCL!$U$7:$U$12</definedName>
    <definedName name="Mode" localSheetId="5">'OCL1'!$U$7:$U$12</definedName>
    <definedName name="Mode" localSheetId="1">SAPL!$U$7:$U$12</definedName>
    <definedName name="Mode" localSheetId="2">SAPL1!$U$7:$U$12</definedName>
    <definedName name="Mode" localSheetId="7">VERTEX!$U$7:$U$12</definedName>
    <definedName name="Mode" localSheetId="0">VERTEX1!$U$7:$U$12</definedName>
    <definedName name="Mode">#REF!</definedName>
    <definedName name="_xlnm.Print_Area" localSheetId="8">KDS!$A$1:$P$168</definedName>
    <definedName name="_xlnm.Print_Area" localSheetId="9">'New Challan Formet 7th (10)'!$A$1:$P$168</definedName>
    <definedName name="_xlnm.Print_Area" localSheetId="4">'New Challan Formet 7th (5)'!$A$1:$P$168</definedName>
    <definedName name="_xlnm.Print_Area" localSheetId="6">'New Challan Formet 7th (7)'!$A$1:$P$168</definedName>
    <definedName name="_xlnm.Print_Area" localSheetId="3">OCL!$A$1:$P$168</definedName>
    <definedName name="_xlnm.Print_Area" localSheetId="5">'OCL1'!$A$1:$P$168</definedName>
    <definedName name="_xlnm.Print_Area" localSheetId="1">SAPL!$A$1:$P$168</definedName>
    <definedName name="_xlnm.Print_Area" localSheetId="2">SAPL1!$A$1:$P$168</definedName>
    <definedName name="_xlnm.Print_Area" localSheetId="7">VERTEX!$A$1:$P$168</definedName>
    <definedName name="_xlnm.Print_Area" localSheetId="0">VERTEX1!$A$1:$P$168</definedName>
    <definedName name="To" localSheetId="8">KDS!$T$7:$T$33</definedName>
    <definedName name="To" localSheetId="9">'New Challan Formet 7th (10)'!$T$7:$T$33</definedName>
    <definedName name="To" localSheetId="4">'New Challan Formet 7th (5)'!$T$7:$T$33</definedName>
    <definedName name="To" localSheetId="6">'New Challan Formet 7th (7)'!$T$7:$T$33</definedName>
    <definedName name="To" localSheetId="3">OCL!$T$7:$T$33</definedName>
    <definedName name="To" localSheetId="5">'OCL1'!$T$7:$T$33</definedName>
    <definedName name="To" localSheetId="1">SAPL!$T$7:$T$33</definedName>
    <definedName name="To" localSheetId="2">SAPL1!$T$7:$T$33</definedName>
    <definedName name="To" localSheetId="7">VERTEX!$T$7:$T$33</definedName>
    <definedName name="To" localSheetId="0">VERTEX1!$T$7:$T$33</definedName>
    <definedName name="To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8" i="16" l="1"/>
  <c r="M118" i="16" s="1"/>
  <c r="M158" i="16" s="1"/>
  <c r="D78" i="16"/>
  <c r="D118" i="16" s="1"/>
  <c r="D158" i="16" s="1"/>
  <c r="M77" i="16"/>
  <c r="M117" i="16" s="1"/>
  <c r="M157" i="16" s="1"/>
  <c r="D77" i="16"/>
  <c r="D117" i="16" s="1"/>
  <c r="D157" i="16" s="1"/>
  <c r="P74" i="16"/>
  <c r="P114" i="16" s="1"/>
  <c r="P154" i="16" s="1"/>
  <c r="M74" i="16"/>
  <c r="M114" i="16" s="1"/>
  <c r="M154" i="16" s="1"/>
  <c r="K74" i="16"/>
  <c r="K114" i="16" s="1"/>
  <c r="K154" i="16" s="1"/>
  <c r="H74" i="16"/>
  <c r="H114" i="16" s="1"/>
  <c r="H154" i="16" s="1"/>
  <c r="B74" i="16"/>
  <c r="B114" i="16" s="1"/>
  <c r="B154" i="16" s="1"/>
  <c r="A74" i="16"/>
  <c r="A114" i="16" s="1"/>
  <c r="A154" i="16" s="1"/>
  <c r="P73" i="16"/>
  <c r="P113" i="16" s="1"/>
  <c r="P153" i="16" s="1"/>
  <c r="M73" i="16"/>
  <c r="M113" i="16" s="1"/>
  <c r="M153" i="16" s="1"/>
  <c r="K73" i="16"/>
  <c r="K113" i="16" s="1"/>
  <c r="K153" i="16" s="1"/>
  <c r="H73" i="16"/>
  <c r="H113" i="16" s="1"/>
  <c r="H153" i="16" s="1"/>
  <c r="B73" i="16"/>
  <c r="B113" i="16" s="1"/>
  <c r="B153" i="16" s="1"/>
  <c r="A73" i="16"/>
  <c r="A113" i="16" s="1"/>
  <c r="A153" i="16" s="1"/>
  <c r="P72" i="16"/>
  <c r="P112" i="16" s="1"/>
  <c r="P152" i="16" s="1"/>
  <c r="M72" i="16"/>
  <c r="M112" i="16" s="1"/>
  <c r="M152" i="16" s="1"/>
  <c r="K72" i="16"/>
  <c r="K112" i="16" s="1"/>
  <c r="K152" i="16" s="1"/>
  <c r="H72" i="16"/>
  <c r="H112" i="16" s="1"/>
  <c r="H152" i="16" s="1"/>
  <c r="B72" i="16"/>
  <c r="B112" i="16" s="1"/>
  <c r="B152" i="16" s="1"/>
  <c r="A72" i="16"/>
  <c r="A112" i="16" s="1"/>
  <c r="A152" i="16" s="1"/>
  <c r="P71" i="16"/>
  <c r="P111" i="16" s="1"/>
  <c r="P151" i="16" s="1"/>
  <c r="M71" i="16"/>
  <c r="M111" i="16" s="1"/>
  <c r="M151" i="16" s="1"/>
  <c r="K71" i="16"/>
  <c r="K111" i="16" s="1"/>
  <c r="K151" i="16" s="1"/>
  <c r="H71" i="16"/>
  <c r="H111" i="16" s="1"/>
  <c r="H151" i="16" s="1"/>
  <c r="B71" i="16"/>
  <c r="B111" i="16" s="1"/>
  <c r="B151" i="16" s="1"/>
  <c r="A71" i="16"/>
  <c r="A111" i="16" s="1"/>
  <c r="A151" i="16" s="1"/>
  <c r="P70" i="16"/>
  <c r="P110" i="16" s="1"/>
  <c r="P150" i="16" s="1"/>
  <c r="M70" i="16"/>
  <c r="M110" i="16" s="1"/>
  <c r="M150" i="16" s="1"/>
  <c r="K70" i="16"/>
  <c r="K110" i="16" s="1"/>
  <c r="K150" i="16" s="1"/>
  <c r="H70" i="16"/>
  <c r="H110" i="16" s="1"/>
  <c r="H150" i="16" s="1"/>
  <c r="B70" i="16"/>
  <c r="B110" i="16" s="1"/>
  <c r="B150" i="16" s="1"/>
  <c r="A70" i="16"/>
  <c r="A110" i="16" s="1"/>
  <c r="A150" i="16" s="1"/>
  <c r="P69" i="16"/>
  <c r="P109" i="16" s="1"/>
  <c r="P149" i="16" s="1"/>
  <c r="M69" i="16"/>
  <c r="M109" i="16" s="1"/>
  <c r="M149" i="16" s="1"/>
  <c r="K69" i="16"/>
  <c r="K109" i="16" s="1"/>
  <c r="K149" i="16" s="1"/>
  <c r="H69" i="16"/>
  <c r="H109" i="16" s="1"/>
  <c r="H149" i="16" s="1"/>
  <c r="B69" i="16"/>
  <c r="B109" i="16" s="1"/>
  <c r="B149" i="16" s="1"/>
  <c r="A69" i="16"/>
  <c r="A109" i="16" s="1"/>
  <c r="A149" i="16" s="1"/>
  <c r="P68" i="16"/>
  <c r="P108" i="16" s="1"/>
  <c r="P148" i="16" s="1"/>
  <c r="M68" i="16"/>
  <c r="M108" i="16" s="1"/>
  <c r="M148" i="16" s="1"/>
  <c r="K68" i="16"/>
  <c r="K108" i="16" s="1"/>
  <c r="K148" i="16" s="1"/>
  <c r="H68" i="16"/>
  <c r="H108" i="16" s="1"/>
  <c r="H148" i="16" s="1"/>
  <c r="B68" i="16"/>
  <c r="B108" i="16" s="1"/>
  <c r="B148" i="16" s="1"/>
  <c r="A68" i="16"/>
  <c r="A108" i="16" s="1"/>
  <c r="A148" i="16" s="1"/>
  <c r="P67" i="16"/>
  <c r="P107" i="16" s="1"/>
  <c r="P147" i="16" s="1"/>
  <c r="M67" i="16"/>
  <c r="M107" i="16" s="1"/>
  <c r="M147" i="16" s="1"/>
  <c r="K67" i="16"/>
  <c r="K107" i="16" s="1"/>
  <c r="K147" i="16" s="1"/>
  <c r="H67" i="16"/>
  <c r="H107" i="16" s="1"/>
  <c r="H147" i="16" s="1"/>
  <c r="B67" i="16"/>
  <c r="B107" i="16" s="1"/>
  <c r="B147" i="16" s="1"/>
  <c r="A67" i="16"/>
  <c r="A107" i="16" s="1"/>
  <c r="A147" i="16" s="1"/>
  <c r="P66" i="16"/>
  <c r="P106" i="16" s="1"/>
  <c r="P146" i="16" s="1"/>
  <c r="M66" i="16"/>
  <c r="M106" i="16" s="1"/>
  <c r="M146" i="16" s="1"/>
  <c r="K66" i="16"/>
  <c r="K106" i="16" s="1"/>
  <c r="K146" i="16" s="1"/>
  <c r="H66" i="16"/>
  <c r="H106" i="16" s="1"/>
  <c r="H146" i="16" s="1"/>
  <c r="B66" i="16"/>
  <c r="B106" i="16" s="1"/>
  <c r="B146" i="16" s="1"/>
  <c r="A66" i="16"/>
  <c r="A106" i="16" s="1"/>
  <c r="A146" i="16" s="1"/>
  <c r="P65" i="16"/>
  <c r="P105" i="16" s="1"/>
  <c r="P145" i="16" s="1"/>
  <c r="M65" i="16"/>
  <c r="M105" i="16" s="1"/>
  <c r="M145" i="16" s="1"/>
  <c r="K65" i="16"/>
  <c r="K105" i="16" s="1"/>
  <c r="K145" i="16" s="1"/>
  <c r="H65" i="16"/>
  <c r="H105" i="16" s="1"/>
  <c r="H145" i="16" s="1"/>
  <c r="B65" i="16"/>
  <c r="B105" i="16" s="1"/>
  <c r="B145" i="16" s="1"/>
  <c r="A65" i="16"/>
  <c r="A105" i="16" s="1"/>
  <c r="A145" i="16" s="1"/>
  <c r="P64" i="16"/>
  <c r="P104" i="16" s="1"/>
  <c r="P144" i="16" s="1"/>
  <c r="M64" i="16"/>
  <c r="M104" i="16" s="1"/>
  <c r="M144" i="16" s="1"/>
  <c r="K64" i="16"/>
  <c r="K104" i="16" s="1"/>
  <c r="K144" i="16" s="1"/>
  <c r="H64" i="16"/>
  <c r="H104" i="16" s="1"/>
  <c r="H144" i="16" s="1"/>
  <c r="B64" i="16"/>
  <c r="B104" i="16" s="1"/>
  <c r="B144" i="16" s="1"/>
  <c r="A64" i="16"/>
  <c r="A104" i="16" s="1"/>
  <c r="A144" i="16" s="1"/>
  <c r="P63" i="16"/>
  <c r="P103" i="16" s="1"/>
  <c r="P143" i="16" s="1"/>
  <c r="M63" i="16"/>
  <c r="M103" i="16" s="1"/>
  <c r="M143" i="16" s="1"/>
  <c r="K63" i="16"/>
  <c r="K103" i="16" s="1"/>
  <c r="K143" i="16" s="1"/>
  <c r="H63" i="16"/>
  <c r="H103" i="16" s="1"/>
  <c r="H143" i="16" s="1"/>
  <c r="B63" i="16"/>
  <c r="B103" i="16" s="1"/>
  <c r="B143" i="16" s="1"/>
  <c r="A63" i="16"/>
  <c r="A103" i="16" s="1"/>
  <c r="A143" i="16" s="1"/>
  <c r="P62" i="16"/>
  <c r="P102" i="16" s="1"/>
  <c r="P142" i="16" s="1"/>
  <c r="M62" i="16"/>
  <c r="M102" i="16" s="1"/>
  <c r="M142" i="16" s="1"/>
  <c r="K62" i="16"/>
  <c r="K102" i="16" s="1"/>
  <c r="K142" i="16" s="1"/>
  <c r="H62" i="16"/>
  <c r="H102" i="16" s="1"/>
  <c r="H142" i="16" s="1"/>
  <c r="B62" i="16"/>
  <c r="B102" i="16" s="1"/>
  <c r="B142" i="16" s="1"/>
  <c r="A62" i="16"/>
  <c r="A102" i="16" s="1"/>
  <c r="A142" i="16" s="1"/>
  <c r="P61" i="16"/>
  <c r="P101" i="16" s="1"/>
  <c r="P141" i="16" s="1"/>
  <c r="M61" i="16"/>
  <c r="M101" i="16" s="1"/>
  <c r="M141" i="16" s="1"/>
  <c r="K61" i="16"/>
  <c r="K101" i="16" s="1"/>
  <c r="K141" i="16" s="1"/>
  <c r="H61" i="16"/>
  <c r="H101" i="16" s="1"/>
  <c r="H141" i="16" s="1"/>
  <c r="B61" i="16"/>
  <c r="B101" i="16" s="1"/>
  <c r="B141" i="16" s="1"/>
  <c r="A61" i="16"/>
  <c r="A101" i="16" s="1"/>
  <c r="A141" i="16" s="1"/>
  <c r="P60" i="16"/>
  <c r="P100" i="16" s="1"/>
  <c r="P140" i="16" s="1"/>
  <c r="M60" i="16"/>
  <c r="M100" i="16" s="1"/>
  <c r="M140" i="16" s="1"/>
  <c r="K60" i="16"/>
  <c r="K100" i="16" s="1"/>
  <c r="K140" i="16" s="1"/>
  <c r="H60" i="16"/>
  <c r="H100" i="16" s="1"/>
  <c r="H140" i="16" s="1"/>
  <c r="B60" i="16"/>
  <c r="B100" i="16" s="1"/>
  <c r="B140" i="16" s="1"/>
  <c r="A60" i="16"/>
  <c r="A100" i="16" s="1"/>
  <c r="A140" i="16" s="1"/>
  <c r="P59" i="16"/>
  <c r="P99" i="16" s="1"/>
  <c r="P139" i="16" s="1"/>
  <c r="M59" i="16"/>
  <c r="M99" i="16" s="1"/>
  <c r="M139" i="16" s="1"/>
  <c r="K59" i="16"/>
  <c r="K99" i="16" s="1"/>
  <c r="K139" i="16" s="1"/>
  <c r="H59" i="16"/>
  <c r="H99" i="16" s="1"/>
  <c r="H139" i="16" s="1"/>
  <c r="B59" i="16"/>
  <c r="B99" i="16" s="1"/>
  <c r="B139" i="16" s="1"/>
  <c r="A59" i="16"/>
  <c r="A99" i="16" s="1"/>
  <c r="A139" i="16" s="1"/>
  <c r="P58" i="16"/>
  <c r="P98" i="16" s="1"/>
  <c r="P138" i="16" s="1"/>
  <c r="M58" i="16"/>
  <c r="M98" i="16" s="1"/>
  <c r="M138" i="16" s="1"/>
  <c r="K58" i="16"/>
  <c r="K98" i="16" s="1"/>
  <c r="K138" i="16" s="1"/>
  <c r="H58" i="16"/>
  <c r="H98" i="16" s="1"/>
  <c r="H138" i="16" s="1"/>
  <c r="B58" i="16"/>
  <c r="B98" i="16" s="1"/>
  <c r="B138" i="16" s="1"/>
  <c r="A58" i="16"/>
  <c r="A98" i="16" s="1"/>
  <c r="A138" i="16" s="1"/>
  <c r="P57" i="16"/>
  <c r="P97" i="16" s="1"/>
  <c r="P137" i="16" s="1"/>
  <c r="M57" i="16"/>
  <c r="M97" i="16" s="1"/>
  <c r="M137" i="16" s="1"/>
  <c r="K57" i="16"/>
  <c r="K97" i="16" s="1"/>
  <c r="K137" i="16" s="1"/>
  <c r="H57" i="16"/>
  <c r="H97" i="16" s="1"/>
  <c r="H137" i="16" s="1"/>
  <c r="B57" i="16"/>
  <c r="B97" i="16" s="1"/>
  <c r="B137" i="16" s="1"/>
  <c r="A57" i="16"/>
  <c r="A97" i="16" s="1"/>
  <c r="A137" i="16" s="1"/>
  <c r="P56" i="16"/>
  <c r="P96" i="16" s="1"/>
  <c r="P136" i="16" s="1"/>
  <c r="M56" i="16"/>
  <c r="M96" i="16" s="1"/>
  <c r="M136" i="16" s="1"/>
  <c r="K56" i="16"/>
  <c r="K96" i="16" s="1"/>
  <c r="K136" i="16" s="1"/>
  <c r="H56" i="16"/>
  <c r="H96" i="16" s="1"/>
  <c r="H136" i="16" s="1"/>
  <c r="B56" i="16"/>
  <c r="B96" i="16" s="1"/>
  <c r="B136" i="16" s="1"/>
  <c r="A56" i="16"/>
  <c r="A96" i="16" s="1"/>
  <c r="A136" i="16" s="1"/>
  <c r="P55" i="16"/>
  <c r="P95" i="16" s="1"/>
  <c r="P135" i="16" s="1"/>
  <c r="M55" i="16"/>
  <c r="M95" i="16" s="1"/>
  <c r="M135" i="16" s="1"/>
  <c r="K55" i="16"/>
  <c r="K95" i="16" s="1"/>
  <c r="H55" i="16"/>
  <c r="H95" i="16" s="1"/>
  <c r="B55" i="16"/>
  <c r="B95" i="16" s="1"/>
  <c r="B135" i="16" s="1"/>
  <c r="A55" i="16"/>
  <c r="A95" i="16" s="1"/>
  <c r="A135" i="16" s="1"/>
  <c r="C54" i="16"/>
  <c r="C94" i="16" s="1"/>
  <c r="C134" i="16" s="1"/>
  <c r="C53" i="16"/>
  <c r="C93" i="16" s="1"/>
  <c r="C133" i="16" s="1"/>
  <c r="B53" i="16"/>
  <c r="B93" i="16" s="1"/>
  <c r="B133" i="16" s="1"/>
  <c r="L49" i="16"/>
  <c r="L89" i="16" s="1"/>
  <c r="L129" i="16" s="1"/>
  <c r="L48" i="16"/>
  <c r="L88" i="16" s="1"/>
  <c r="L128" i="16" s="1"/>
  <c r="A48" i="16"/>
  <c r="A88" i="16" s="1"/>
  <c r="A128" i="16" s="1"/>
  <c r="L46" i="16"/>
  <c r="L86" i="16" s="1"/>
  <c r="L126" i="16" s="1"/>
  <c r="C46" i="16"/>
  <c r="C86" i="16" s="1"/>
  <c r="C126" i="16" s="1"/>
  <c r="M42" i="16"/>
  <c r="M82" i="16" s="1"/>
  <c r="M122" i="16" s="1"/>
  <c r="K35" i="16"/>
  <c r="H35" i="16"/>
  <c r="L47" i="16"/>
  <c r="L87" i="16" s="1"/>
  <c r="L127" i="16" s="1"/>
  <c r="M78" i="15"/>
  <c r="M118" i="15" s="1"/>
  <c r="M158" i="15" s="1"/>
  <c r="D78" i="15"/>
  <c r="D118" i="15" s="1"/>
  <c r="D158" i="15" s="1"/>
  <c r="M77" i="15"/>
  <c r="M117" i="15" s="1"/>
  <c r="M157" i="15" s="1"/>
  <c r="D77" i="15"/>
  <c r="D117" i="15" s="1"/>
  <c r="D157" i="15" s="1"/>
  <c r="P74" i="15"/>
  <c r="P114" i="15" s="1"/>
  <c r="P154" i="15" s="1"/>
  <c r="M74" i="15"/>
  <c r="M114" i="15" s="1"/>
  <c r="M154" i="15" s="1"/>
  <c r="K74" i="15"/>
  <c r="K114" i="15" s="1"/>
  <c r="K154" i="15" s="1"/>
  <c r="H74" i="15"/>
  <c r="H114" i="15" s="1"/>
  <c r="H154" i="15" s="1"/>
  <c r="B74" i="15"/>
  <c r="B114" i="15" s="1"/>
  <c r="B154" i="15" s="1"/>
  <c r="A74" i="15"/>
  <c r="A114" i="15" s="1"/>
  <c r="A154" i="15" s="1"/>
  <c r="P73" i="15"/>
  <c r="P113" i="15" s="1"/>
  <c r="P153" i="15" s="1"/>
  <c r="M73" i="15"/>
  <c r="M113" i="15" s="1"/>
  <c r="M153" i="15" s="1"/>
  <c r="K73" i="15"/>
  <c r="K113" i="15" s="1"/>
  <c r="K153" i="15" s="1"/>
  <c r="H73" i="15"/>
  <c r="H113" i="15" s="1"/>
  <c r="H153" i="15" s="1"/>
  <c r="B73" i="15"/>
  <c r="B113" i="15" s="1"/>
  <c r="B153" i="15" s="1"/>
  <c r="A73" i="15"/>
  <c r="A113" i="15" s="1"/>
  <c r="A153" i="15" s="1"/>
  <c r="P72" i="15"/>
  <c r="P112" i="15" s="1"/>
  <c r="P152" i="15" s="1"/>
  <c r="M72" i="15"/>
  <c r="M112" i="15" s="1"/>
  <c r="M152" i="15" s="1"/>
  <c r="K72" i="15"/>
  <c r="K112" i="15" s="1"/>
  <c r="K152" i="15" s="1"/>
  <c r="H72" i="15"/>
  <c r="H112" i="15" s="1"/>
  <c r="H152" i="15" s="1"/>
  <c r="B72" i="15"/>
  <c r="B112" i="15" s="1"/>
  <c r="B152" i="15" s="1"/>
  <c r="A72" i="15"/>
  <c r="A112" i="15" s="1"/>
  <c r="A152" i="15" s="1"/>
  <c r="P71" i="15"/>
  <c r="P111" i="15" s="1"/>
  <c r="P151" i="15" s="1"/>
  <c r="M71" i="15"/>
  <c r="M111" i="15" s="1"/>
  <c r="M151" i="15" s="1"/>
  <c r="K71" i="15"/>
  <c r="K111" i="15" s="1"/>
  <c r="K151" i="15" s="1"/>
  <c r="H71" i="15"/>
  <c r="H111" i="15" s="1"/>
  <c r="H151" i="15" s="1"/>
  <c r="B71" i="15"/>
  <c r="B111" i="15" s="1"/>
  <c r="B151" i="15" s="1"/>
  <c r="A71" i="15"/>
  <c r="A111" i="15" s="1"/>
  <c r="A151" i="15" s="1"/>
  <c r="P70" i="15"/>
  <c r="P110" i="15" s="1"/>
  <c r="P150" i="15" s="1"/>
  <c r="M70" i="15"/>
  <c r="M110" i="15" s="1"/>
  <c r="M150" i="15" s="1"/>
  <c r="K70" i="15"/>
  <c r="K110" i="15" s="1"/>
  <c r="K150" i="15" s="1"/>
  <c r="H70" i="15"/>
  <c r="H110" i="15" s="1"/>
  <c r="H150" i="15" s="1"/>
  <c r="B70" i="15"/>
  <c r="B110" i="15" s="1"/>
  <c r="B150" i="15" s="1"/>
  <c r="A70" i="15"/>
  <c r="A110" i="15" s="1"/>
  <c r="A150" i="15" s="1"/>
  <c r="P69" i="15"/>
  <c r="P109" i="15" s="1"/>
  <c r="P149" i="15" s="1"/>
  <c r="M69" i="15"/>
  <c r="M109" i="15" s="1"/>
  <c r="M149" i="15" s="1"/>
  <c r="K69" i="15"/>
  <c r="K109" i="15" s="1"/>
  <c r="K149" i="15" s="1"/>
  <c r="H69" i="15"/>
  <c r="H109" i="15" s="1"/>
  <c r="H149" i="15" s="1"/>
  <c r="B69" i="15"/>
  <c r="B109" i="15" s="1"/>
  <c r="B149" i="15" s="1"/>
  <c r="A69" i="15"/>
  <c r="A109" i="15" s="1"/>
  <c r="A149" i="15" s="1"/>
  <c r="P68" i="15"/>
  <c r="P108" i="15" s="1"/>
  <c r="P148" i="15" s="1"/>
  <c r="M68" i="15"/>
  <c r="M108" i="15" s="1"/>
  <c r="M148" i="15" s="1"/>
  <c r="K68" i="15"/>
  <c r="K108" i="15" s="1"/>
  <c r="K148" i="15" s="1"/>
  <c r="H68" i="15"/>
  <c r="H108" i="15" s="1"/>
  <c r="H148" i="15" s="1"/>
  <c r="B68" i="15"/>
  <c r="B108" i="15" s="1"/>
  <c r="B148" i="15" s="1"/>
  <c r="A68" i="15"/>
  <c r="A108" i="15" s="1"/>
  <c r="A148" i="15" s="1"/>
  <c r="P67" i="15"/>
  <c r="P107" i="15" s="1"/>
  <c r="P147" i="15" s="1"/>
  <c r="M67" i="15"/>
  <c r="M107" i="15" s="1"/>
  <c r="M147" i="15" s="1"/>
  <c r="K67" i="15"/>
  <c r="K107" i="15" s="1"/>
  <c r="K147" i="15" s="1"/>
  <c r="H67" i="15"/>
  <c r="H107" i="15" s="1"/>
  <c r="H147" i="15" s="1"/>
  <c r="B67" i="15"/>
  <c r="B107" i="15" s="1"/>
  <c r="B147" i="15" s="1"/>
  <c r="A67" i="15"/>
  <c r="A107" i="15" s="1"/>
  <c r="A147" i="15" s="1"/>
  <c r="P66" i="15"/>
  <c r="P106" i="15" s="1"/>
  <c r="P146" i="15" s="1"/>
  <c r="M66" i="15"/>
  <c r="M106" i="15" s="1"/>
  <c r="M146" i="15" s="1"/>
  <c r="K66" i="15"/>
  <c r="K106" i="15" s="1"/>
  <c r="K146" i="15" s="1"/>
  <c r="H66" i="15"/>
  <c r="H106" i="15" s="1"/>
  <c r="H146" i="15" s="1"/>
  <c r="B66" i="15"/>
  <c r="B106" i="15" s="1"/>
  <c r="B146" i="15" s="1"/>
  <c r="A66" i="15"/>
  <c r="A106" i="15" s="1"/>
  <c r="A146" i="15" s="1"/>
  <c r="P65" i="15"/>
  <c r="P105" i="15" s="1"/>
  <c r="P145" i="15" s="1"/>
  <c r="M65" i="15"/>
  <c r="M105" i="15" s="1"/>
  <c r="M145" i="15" s="1"/>
  <c r="K65" i="15"/>
  <c r="K105" i="15" s="1"/>
  <c r="K145" i="15" s="1"/>
  <c r="H65" i="15"/>
  <c r="H105" i="15" s="1"/>
  <c r="H145" i="15" s="1"/>
  <c r="B65" i="15"/>
  <c r="B105" i="15" s="1"/>
  <c r="B145" i="15" s="1"/>
  <c r="A65" i="15"/>
  <c r="A105" i="15" s="1"/>
  <c r="A145" i="15" s="1"/>
  <c r="P64" i="15"/>
  <c r="P104" i="15" s="1"/>
  <c r="P144" i="15" s="1"/>
  <c r="M64" i="15"/>
  <c r="M104" i="15" s="1"/>
  <c r="M144" i="15" s="1"/>
  <c r="K64" i="15"/>
  <c r="K104" i="15" s="1"/>
  <c r="K144" i="15" s="1"/>
  <c r="H64" i="15"/>
  <c r="H104" i="15" s="1"/>
  <c r="H144" i="15" s="1"/>
  <c r="B64" i="15"/>
  <c r="B104" i="15" s="1"/>
  <c r="B144" i="15" s="1"/>
  <c r="A64" i="15"/>
  <c r="A104" i="15" s="1"/>
  <c r="A144" i="15" s="1"/>
  <c r="P63" i="15"/>
  <c r="P103" i="15" s="1"/>
  <c r="P143" i="15" s="1"/>
  <c r="M63" i="15"/>
  <c r="M103" i="15" s="1"/>
  <c r="M143" i="15" s="1"/>
  <c r="K63" i="15"/>
  <c r="K103" i="15" s="1"/>
  <c r="K143" i="15" s="1"/>
  <c r="H63" i="15"/>
  <c r="H103" i="15" s="1"/>
  <c r="H143" i="15" s="1"/>
  <c r="B63" i="15"/>
  <c r="B103" i="15" s="1"/>
  <c r="B143" i="15" s="1"/>
  <c r="A63" i="15"/>
  <c r="A103" i="15" s="1"/>
  <c r="A143" i="15" s="1"/>
  <c r="P62" i="15"/>
  <c r="P102" i="15" s="1"/>
  <c r="P142" i="15" s="1"/>
  <c r="M62" i="15"/>
  <c r="M102" i="15" s="1"/>
  <c r="M142" i="15" s="1"/>
  <c r="K62" i="15"/>
  <c r="K102" i="15" s="1"/>
  <c r="K142" i="15" s="1"/>
  <c r="H62" i="15"/>
  <c r="H102" i="15" s="1"/>
  <c r="H142" i="15" s="1"/>
  <c r="B62" i="15"/>
  <c r="B102" i="15" s="1"/>
  <c r="B142" i="15" s="1"/>
  <c r="A62" i="15"/>
  <c r="A102" i="15" s="1"/>
  <c r="A142" i="15" s="1"/>
  <c r="P61" i="15"/>
  <c r="P101" i="15" s="1"/>
  <c r="P141" i="15" s="1"/>
  <c r="M61" i="15"/>
  <c r="M101" i="15" s="1"/>
  <c r="M141" i="15" s="1"/>
  <c r="K61" i="15"/>
  <c r="K101" i="15" s="1"/>
  <c r="K141" i="15" s="1"/>
  <c r="H61" i="15"/>
  <c r="H101" i="15" s="1"/>
  <c r="H141" i="15" s="1"/>
  <c r="B61" i="15"/>
  <c r="B101" i="15" s="1"/>
  <c r="B141" i="15" s="1"/>
  <c r="A61" i="15"/>
  <c r="A101" i="15" s="1"/>
  <c r="A141" i="15" s="1"/>
  <c r="P60" i="15"/>
  <c r="P100" i="15" s="1"/>
  <c r="P140" i="15" s="1"/>
  <c r="M60" i="15"/>
  <c r="M100" i="15" s="1"/>
  <c r="M140" i="15" s="1"/>
  <c r="K60" i="15"/>
  <c r="K100" i="15" s="1"/>
  <c r="K140" i="15" s="1"/>
  <c r="H60" i="15"/>
  <c r="H100" i="15" s="1"/>
  <c r="H140" i="15" s="1"/>
  <c r="B60" i="15"/>
  <c r="B100" i="15" s="1"/>
  <c r="B140" i="15" s="1"/>
  <c r="A60" i="15"/>
  <c r="A100" i="15" s="1"/>
  <c r="A140" i="15" s="1"/>
  <c r="P59" i="15"/>
  <c r="P99" i="15" s="1"/>
  <c r="P139" i="15" s="1"/>
  <c r="M59" i="15"/>
  <c r="M99" i="15" s="1"/>
  <c r="M139" i="15" s="1"/>
  <c r="K59" i="15"/>
  <c r="K99" i="15" s="1"/>
  <c r="K139" i="15" s="1"/>
  <c r="H59" i="15"/>
  <c r="H99" i="15" s="1"/>
  <c r="H139" i="15" s="1"/>
  <c r="B59" i="15"/>
  <c r="B99" i="15" s="1"/>
  <c r="B139" i="15" s="1"/>
  <c r="A59" i="15"/>
  <c r="A99" i="15" s="1"/>
  <c r="A139" i="15" s="1"/>
  <c r="P58" i="15"/>
  <c r="P98" i="15" s="1"/>
  <c r="P138" i="15" s="1"/>
  <c r="M58" i="15"/>
  <c r="M98" i="15" s="1"/>
  <c r="M138" i="15" s="1"/>
  <c r="K58" i="15"/>
  <c r="K98" i="15" s="1"/>
  <c r="K138" i="15" s="1"/>
  <c r="H58" i="15"/>
  <c r="H98" i="15" s="1"/>
  <c r="H138" i="15" s="1"/>
  <c r="B58" i="15"/>
  <c r="B98" i="15" s="1"/>
  <c r="B138" i="15" s="1"/>
  <c r="A58" i="15"/>
  <c r="A98" i="15" s="1"/>
  <c r="A138" i="15" s="1"/>
  <c r="P57" i="15"/>
  <c r="P97" i="15" s="1"/>
  <c r="P137" i="15" s="1"/>
  <c r="M57" i="15"/>
  <c r="M97" i="15" s="1"/>
  <c r="M137" i="15" s="1"/>
  <c r="K57" i="15"/>
  <c r="K97" i="15" s="1"/>
  <c r="K137" i="15" s="1"/>
  <c r="H57" i="15"/>
  <c r="H97" i="15" s="1"/>
  <c r="H137" i="15" s="1"/>
  <c r="B57" i="15"/>
  <c r="B97" i="15" s="1"/>
  <c r="B137" i="15" s="1"/>
  <c r="A57" i="15"/>
  <c r="A97" i="15" s="1"/>
  <c r="A137" i="15" s="1"/>
  <c r="P56" i="15"/>
  <c r="P96" i="15" s="1"/>
  <c r="P136" i="15" s="1"/>
  <c r="M56" i="15"/>
  <c r="M96" i="15" s="1"/>
  <c r="M136" i="15" s="1"/>
  <c r="K56" i="15"/>
  <c r="K96" i="15" s="1"/>
  <c r="K136" i="15" s="1"/>
  <c r="H56" i="15"/>
  <c r="H96" i="15" s="1"/>
  <c r="H136" i="15" s="1"/>
  <c r="B56" i="15"/>
  <c r="B96" i="15" s="1"/>
  <c r="B136" i="15" s="1"/>
  <c r="A56" i="15"/>
  <c r="A96" i="15" s="1"/>
  <c r="A136" i="15" s="1"/>
  <c r="P55" i="15"/>
  <c r="P95" i="15" s="1"/>
  <c r="P135" i="15" s="1"/>
  <c r="M55" i="15"/>
  <c r="M95" i="15" s="1"/>
  <c r="M135" i="15" s="1"/>
  <c r="K55" i="15"/>
  <c r="K95" i="15" s="1"/>
  <c r="H55" i="15"/>
  <c r="H95" i="15" s="1"/>
  <c r="B55" i="15"/>
  <c r="B95" i="15" s="1"/>
  <c r="B135" i="15" s="1"/>
  <c r="A55" i="15"/>
  <c r="A95" i="15" s="1"/>
  <c r="A135" i="15" s="1"/>
  <c r="C54" i="15"/>
  <c r="C94" i="15" s="1"/>
  <c r="C134" i="15" s="1"/>
  <c r="C53" i="15"/>
  <c r="C93" i="15" s="1"/>
  <c r="C133" i="15" s="1"/>
  <c r="B53" i="15"/>
  <c r="B93" i="15" s="1"/>
  <c r="B133" i="15" s="1"/>
  <c r="L49" i="15"/>
  <c r="L89" i="15" s="1"/>
  <c r="L129" i="15" s="1"/>
  <c r="L48" i="15"/>
  <c r="L88" i="15" s="1"/>
  <c r="L128" i="15" s="1"/>
  <c r="A48" i="15"/>
  <c r="A88" i="15" s="1"/>
  <c r="A128" i="15" s="1"/>
  <c r="L46" i="15"/>
  <c r="L86" i="15" s="1"/>
  <c r="L126" i="15" s="1"/>
  <c r="C46" i="15"/>
  <c r="C86" i="15" s="1"/>
  <c r="C126" i="15" s="1"/>
  <c r="M42" i="15"/>
  <c r="M82" i="15" s="1"/>
  <c r="M122" i="15" s="1"/>
  <c r="K35" i="15"/>
  <c r="H35" i="15"/>
  <c r="L47" i="15"/>
  <c r="L87" i="15" s="1"/>
  <c r="L127" i="15" s="1"/>
  <c r="M78" i="14"/>
  <c r="M118" i="14" s="1"/>
  <c r="M158" i="14" s="1"/>
  <c r="D78" i="14"/>
  <c r="D118" i="14" s="1"/>
  <c r="D158" i="14" s="1"/>
  <c r="M77" i="14"/>
  <c r="M117" i="14" s="1"/>
  <c r="M157" i="14" s="1"/>
  <c r="D77" i="14"/>
  <c r="D117" i="14" s="1"/>
  <c r="D157" i="14" s="1"/>
  <c r="P74" i="14"/>
  <c r="P114" i="14" s="1"/>
  <c r="P154" i="14" s="1"/>
  <c r="M74" i="14"/>
  <c r="M114" i="14" s="1"/>
  <c r="M154" i="14" s="1"/>
  <c r="K74" i="14"/>
  <c r="K114" i="14" s="1"/>
  <c r="K154" i="14" s="1"/>
  <c r="H74" i="14"/>
  <c r="H114" i="14" s="1"/>
  <c r="H154" i="14" s="1"/>
  <c r="B74" i="14"/>
  <c r="B114" i="14" s="1"/>
  <c r="B154" i="14" s="1"/>
  <c r="A74" i="14"/>
  <c r="A114" i="14" s="1"/>
  <c r="A154" i="14" s="1"/>
  <c r="P73" i="14"/>
  <c r="P113" i="14" s="1"/>
  <c r="P153" i="14" s="1"/>
  <c r="M73" i="14"/>
  <c r="M113" i="14" s="1"/>
  <c r="M153" i="14" s="1"/>
  <c r="K73" i="14"/>
  <c r="K113" i="14" s="1"/>
  <c r="K153" i="14" s="1"/>
  <c r="H73" i="14"/>
  <c r="H113" i="14" s="1"/>
  <c r="H153" i="14" s="1"/>
  <c r="B73" i="14"/>
  <c r="B113" i="14" s="1"/>
  <c r="B153" i="14" s="1"/>
  <c r="A73" i="14"/>
  <c r="A113" i="14" s="1"/>
  <c r="A153" i="14" s="1"/>
  <c r="P72" i="14"/>
  <c r="P112" i="14" s="1"/>
  <c r="P152" i="14" s="1"/>
  <c r="M72" i="14"/>
  <c r="M112" i="14" s="1"/>
  <c r="M152" i="14" s="1"/>
  <c r="K72" i="14"/>
  <c r="K112" i="14" s="1"/>
  <c r="K152" i="14" s="1"/>
  <c r="H72" i="14"/>
  <c r="H112" i="14" s="1"/>
  <c r="H152" i="14" s="1"/>
  <c r="B72" i="14"/>
  <c r="B112" i="14" s="1"/>
  <c r="B152" i="14" s="1"/>
  <c r="A72" i="14"/>
  <c r="A112" i="14" s="1"/>
  <c r="A152" i="14" s="1"/>
  <c r="P71" i="14"/>
  <c r="P111" i="14" s="1"/>
  <c r="P151" i="14" s="1"/>
  <c r="M71" i="14"/>
  <c r="M111" i="14" s="1"/>
  <c r="M151" i="14" s="1"/>
  <c r="K71" i="14"/>
  <c r="K111" i="14" s="1"/>
  <c r="K151" i="14" s="1"/>
  <c r="H71" i="14"/>
  <c r="H111" i="14" s="1"/>
  <c r="H151" i="14" s="1"/>
  <c r="B71" i="14"/>
  <c r="B111" i="14" s="1"/>
  <c r="B151" i="14" s="1"/>
  <c r="A71" i="14"/>
  <c r="A111" i="14" s="1"/>
  <c r="A151" i="14" s="1"/>
  <c r="P70" i="14"/>
  <c r="P110" i="14" s="1"/>
  <c r="P150" i="14" s="1"/>
  <c r="M70" i="14"/>
  <c r="M110" i="14" s="1"/>
  <c r="M150" i="14" s="1"/>
  <c r="K70" i="14"/>
  <c r="K110" i="14" s="1"/>
  <c r="K150" i="14" s="1"/>
  <c r="H70" i="14"/>
  <c r="H110" i="14" s="1"/>
  <c r="H150" i="14" s="1"/>
  <c r="B70" i="14"/>
  <c r="B110" i="14" s="1"/>
  <c r="B150" i="14" s="1"/>
  <c r="A70" i="14"/>
  <c r="A110" i="14" s="1"/>
  <c r="A150" i="14" s="1"/>
  <c r="P69" i="14"/>
  <c r="P109" i="14" s="1"/>
  <c r="P149" i="14" s="1"/>
  <c r="M69" i="14"/>
  <c r="M109" i="14" s="1"/>
  <c r="M149" i="14" s="1"/>
  <c r="K69" i="14"/>
  <c r="K109" i="14" s="1"/>
  <c r="K149" i="14" s="1"/>
  <c r="H69" i="14"/>
  <c r="H109" i="14" s="1"/>
  <c r="H149" i="14" s="1"/>
  <c r="B69" i="14"/>
  <c r="B109" i="14" s="1"/>
  <c r="B149" i="14" s="1"/>
  <c r="A69" i="14"/>
  <c r="A109" i="14" s="1"/>
  <c r="A149" i="14" s="1"/>
  <c r="P68" i="14"/>
  <c r="P108" i="14" s="1"/>
  <c r="P148" i="14" s="1"/>
  <c r="M68" i="14"/>
  <c r="M108" i="14" s="1"/>
  <c r="M148" i="14" s="1"/>
  <c r="K68" i="14"/>
  <c r="K108" i="14" s="1"/>
  <c r="K148" i="14" s="1"/>
  <c r="H68" i="14"/>
  <c r="H108" i="14" s="1"/>
  <c r="H148" i="14" s="1"/>
  <c r="B68" i="14"/>
  <c r="B108" i="14" s="1"/>
  <c r="B148" i="14" s="1"/>
  <c r="A68" i="14"/>
  <c r="A108" i="14" s="1"/>
  <c r="A148" i="14" s="1"/>
  <c r="P67" i="14"/>
  <c r="P107" i="14" s="1"/>
  <c r="P147" i="14" s="1"/>
  <c r="M67" i="14"/>
  <c r="M107" i="14" s="1"/>
  <c r="M147" i="14" s="1"/>
  <c r="K67" i="14"/>
  <c r="K107" i="14" s="1"/>
  <c r="K147" i="14" s="1"/>
  <c r="H67" i="14"/>
  <c r="H107" i="14" s="1"/>
  <c r="H147" i="14" s="1"/>
  <c r="B67" i="14"/>
  <c r="B107" i="14" s="1"/>
  <c r="B147" i="14" s="1"/>
  <c r="A67" i="14"/>
  <c r="A107" i="14" s="1"/>
  <c r="A147" i="14" s="1"/>
  <c r="P66" i="14"/>
  <c r="P106" i="14" s="1"/>
  <c r="P146" i="14" s="1"/>
  <c r="M66" i="14"/>
  <c r="M106" i="14" s="1"/>
  <c r="M146" i="14" s="1"/>
  <c r="K66" i="14"/>
  <c r="K106" i="14" s="1"/>
  <c r="K146" i="14" s="1"/>
  <c r="H66" i="14"/>
  <c r="H106" i="14" s="1"/>
  <c r="H146" i="14" s="1"/>
  <c r="B66" i="14"/>
  <c r="B106" i="14" s="1"/>
  <c r="B146" i="14" s="1"/>
  <c r="A66" i="14"/>
  <c r="A106" i="14" s="1"/>
  <c r="A146" i="14" s="1"/>
  <c r="P65" i="14"/>
  <c r="P105" i="14" s="1"/>
  <c r="P145" i="14" s="1"/>
  <c r="M65" i="14"/>
  <c r="M105" i="14" s="1"/>
  <c r="M145" i="14" s="1"/>
  <c r="K65" i="14"/>
  <c r="K105" i="14" s="1"/>
  <c r="K145" i="14" s="1"/>
  <c r="H65" i="14"/>
  <c r="H105" i="14" s="1"/>
  <c r="H145" i="14" s="1"/>
  <c r="B65" i="14"/>
  <c r="B105" i="14" s="1"/>
  <c r="B145" i="14" s="1"/>
  <c r="A65" i="14"/>
  <c r="A105" i="14" s="1"/>
  <c r="A145" i="14" s="1"/>
  <c r="P64" i="14"/>
  <c r="P104" i="14" s="1"/>
  <c r="P144" i="14" s="1"/>
  <c r="M64" i="14"/>
  <c r="M104" i="14" s="1"/>
  <c r="M144" i="14" s="1"/>
  <c r="K64" i="14"/>
  <c r="K104" i="14" s="1"/>
  <c r="K144" i="14" s="1"/>
  <c r="H64" i="14"/>
  <c r="H104" i="14" s="1"/>
  <c r="H144" i="14" s="1"/>
  <c r="B64" i="14"/>
  <c r="B104" i="14" s="1"/>
  <c r="B144" i="14" s="1"/>
  <c r="A64" i="14"/>
  <c r="A104" i="14" s="1"/>
  <c r="A144" i="14" s="1"/>
  <c r="P63" i="14"/>
  <c r="P103" i="14" s="1"/>
  <c r="P143" i="14" s="1"/>
  <c r="M63" i="14"/>
  <c r="M103" i="14" s="1"/>
  <c r="M143" i="14" s="1"/>
  <c r="K63" i="14"/>
  <c r="K103" i="14" s="1"/>
  <c r="K143" i="14" s="1"/>
  <c r="H63" i="14"/>
  <c r="H103" i="14" s="1"/>
  <c r="H143" i="14" s="1"/>
  <c r="B63" i="14"/>
  <c r="B103" i="14" s="1"/>
  <c r="B143" i="14" s="1"/>
  <c r="A63" i="14"/>
  <c r="A103" i="14" s="1"/>
  <c r="A143" i="14" s="1"/>
  <c r="P62" i="14"/>
  <c r="P102" i="14" s="1"/>
  <c r="P142" i="14" s="1"/>
  <c r="M62" i="14"/>
  <c r="M102" i="14" s="1"/>
  <c r="M142" i="14" s="1"/>
  <c r="K62" i="14"/>
  <c r="K102" i="14" s="1"/>
  <c r="K142" i="14" s="1"/>
  <c r="H62" i="14"/>
  <c r="H102" i="14" s="1"/>
  <c r="H142" i="14" s="1"/>
  <c r="B62" i="14"/>
  <c r="B102" i="14" s="1"/>
  <c r="B142" i="14" s="1"/>
  <c r="A62" i="14"/>
  <c r="A102" i="14" s="1"/>
  <c r="A142" i="14" s="1"/>
  <c r="P61" i="14"/>
  <c r="P101" i="14" s="1"/>
  <c r="P141" i="14" s="1"/>
  <c r="M61" i="14"/>
  <c r="M101" i="14" s="1"/>
  <c r="M141" i="14" s="1"/>
  <c r="K61" i="14"/>
  <c r="K101" i="14" s="1"/>
  <c r="K141" i="14" s="1"/>
  <c r="H61" i="14"/>
  <c r="H101" i="14" s="1"/>
  <c r="H141" i="14" s="1"/>
  <c r="B61" i="14"/>
  <c r="B101" i="14" s="1"/>
  <c r="B141" i="14" s="1"/>
  <c r="A61" i="14"/>
  <c r="A101" i="14" s="1"/>
  <c r="A141" i="14" s="1"/>
  <c r="P60" i="14"/>
  <c r="P100" i="14" s="1"/>
  <c r="P140" i="14" s="1"/>
  <c r="M60" i="14"/>
  <c r="M100" i="14" s="1"/>
  <c r="M140" i="14" s="1"/>
  <c r="K60" i="14"/>
  <c r="K100" i="14" s="1"/>
  <c r="K140" i="14" s="1"/>
  <c r="H60" i="14"/>
  <c r="H100" i="14" s="1"/>
  <c r="H140" i="14" s="1"/>
  <c r="B60" i="14"/>
  <c r="B100" i="14" s="1"/>
  <c r="B140" i="14" s="1"/>
  <c r="A60" i="14"/>
  <c r="A100" i="14" s="1"/>
  <c r="A140" i="14" s="1"/>
  <c r="P59" i="14"/>
  <c r="P99" i="14" s="1"/>
  <c r="P139" i="14" s="1"/>
  <c r="M59" i="14"/>
  <c r="M99" i="14" s="1"/>
  <c r="M139" i="14" s="1"/>
  <c r="K59" i="14"/>
  <c r="K99" i="14" s="1"/>
  <c r="K139" i="14" s="1"/>
  <c r="H59" i="14"/>
  <c r="H99" i="14" s="1"/>
  <c r="H139" i="14" s="1"/>
  <c r="B59" i="14"/>
  <c r="B99" i="14" s="1"/>
  <c r="B139" i="14" s="1"/>
  <c r="A59" i="14"/>
  <c r="A99" i="14" s="1"/>
  <c r="A139" i="14" s="1"/>
  <c r="P58" i="14"/>
  <c r="P98" i="14" s="1"/>
  <c r="P138" i="14" s="1"/>
  <c r="M58" i="14"/>
  <c r="M98" i="14" s="1"/>
  <c r="M138" i="14" s="1"/>
  <c r="K58" i="14"/>
  <c r="K98" i="14" s="1"/>
  <c r="K138" i="14" s="1"/>
  <c r="H58" i="14"/>
  <c r="H98" i="14" s="1"/>
  <c r="H138" i="14" s="1"/>
  <c r="B58" i="14"/>
  <c r="B98" i="14" s="1"/>
  <c r="B138" i="14" s="1"/>
  <c r="A58" i="14"/>
  <c r="A98" i="14" s="1"/>
  <c r="A138" i="14" s="1"/>
  <c r="P57" i="14"/>
  <c r="P97" i="14" s="1"/>
  <c r="P137" i="14" s="1"/>
  <c r="M57" i="14"/>
  <c r="M97" i="14" s="1"/>
  <c r="M137" i="14" s="1"/>
  <c r="K57" i="14"/>
  <c r="K97" i="14" s="1"/>
  <c r="K137" i="14" s="1"/>
  <c r="H57" i="14"/>
  <c r="H97" i="14" s="1"/>
  <c r="H137" i="14" s="1"/>
  <c r="B57" i="14"/>
  <c r="B97" i="14" s="1"/>
  <c r="B137" i="14" s="1"/>
  <c r="A57" i="14"/>
  <c r="A97" i="14" s="1"/>
  <c r="A137" i="14" s="1"/>
  <c r="P56" i="14"/>
  <c r="P96" i="14" s="1"/>
  <c r="P136" i="14" s="1"/>
  <c r="M56" i="14"/>
  <c r="M96" i="14" s="1"/>
  <c r="M136" i="14" s="1"/>
  <c r="K56" i="14"/>
  <c r="K96" i="14" s="1"/>
  <c r="K136" i="14" s="1"/>
  <c r="H56" i="14"/>
  <c r="B56" i="14"/>
  <c r="B96" i="14" s="1"/>
  <c r="B136" i="14" s="1"/>
  <c r="A56" i="14"/>
  <c r="A96" i="14" s="1"/>
  <c r="A136" i="14" s="1"/>
  <c r="P55" i="14"/>
  <c r="P95" i="14" s="1"/>
  <c r="P135" i="14" s="1"/>
  <c r="M55" i="14"/>
  <c r="M95" i="14" s="1"/>
  <c r="M135" i="14" s="1"/>
  <c r="K55" i="14"/>
  <c r="K95" i="14" s="1"/>
  <c r="H55" i="14"/>
  <c r="H95" i="14" s="1"/>
  <c r="B55" i="14"/>
  <c r="B95" i="14" s="1"/>
  <c r="B135" i="14" s="1"/>
  <c r="A55" i="14"/>
  <c r="A95" i="14" s="1"/>
  <c r="A135" i="14" s="1"/>
  <c r="C54" i="14"/>
  <c r="C94" i="14" s="1"/>
  <c r="C134" i="14" s="1"/>
  <c r="C53" i="14"/>
  <c r="C93" i="14" s="1"/>
  <c r="C133" i="14" s="1"/>
  <c r="B53" i="14"/>
  <c r="B93" i="14" s="1"/>
  <c r="B133" i="14" s="1"/>
  <c r="L49" i="14"/>
  <c r="L89" i="14" s="1"/>
  <c r="L129" i="14" s="1"/>
  <c r="L48" i="14"/>
  <c r="L88" i="14" s="1"/>
  <c r="L128" i="14" s="1"/>
  <c r="A48" i="14"/>
  <c r="A88" i="14" s="1"/>
  <c r="A128" i="14" s="1"/>
  <c r="L46" i="14"/>
  <c r="L86" i="14" s="1"/>
  <c r="L126" i="14" s="1"/>
  <c r="C46" i="14"/>
  <c r="C86" i="14" s="1"/>
  <c r="C126" i="14" s="1"/>
  <c r="M42" i="14"/>
  <c r="M82" i="14" s="1"/>
  <c r="M122" i="14" s="1"/>
  <c r="K35" i="14"/>
  <c r="H35" i="14"/>
  <c r="L7" i="14"/>
  <c r="L47" i="14" s="1"/>
  <c r="L87" i="14" s="1"/>
  <c r="L127" i="14" s="1"/>
  <c r="M78" i="13"/>
  <c r="M118" i="13" s="1"/>
  <c r="M158" i="13" s="1"/>
  <c r="D78" i="13"/>
  <c r="D118" i="13" s="1"/>
  <c r="D158" i="13" s="1"/>
  <c r="M77" i="13"/>
  <c r="M117" i="13" s="1"/>
  <c r="M157" i="13" s="1"/>
  <c r="D77" i="13"/>
  <c r="D117" i="13" s="1"/>
  <c r="D157" i="13" s="1"/>
  <c r="P74" i="13"/>
  <c r="P114" i="13" s="1"/>
  <c r="P154" i="13" s="1"/>
  <c r="M74" i="13"/>
  <c r="M114" i="13" s="1"/>
  <c r="M154" i="13" s="1"/>
  <c r="K74" i="13"/>
  <c r="K114" i="13" s="1"/>
  <c r="K154" i="13" s="1"/>
  <c r="H74" i="13"/>
  <c r="H114" i="13" s="1"/>
  <c r="H154" i="13" s="1"/>
  <c r="B74" i="13"/>
  <c r="B114" i="13" s="1"/>
  <c r="B154" i="13" s="1"/>
  <c r="A74" i="13"/>
  <c r="A114" i="13" s="1"/>
  <c r="A154" i="13" s="1"/>
  <c r="P73" i="13"/>
  <c r="P113" i="13" s="1"/>
  <c r="P153" i="13" s="1"/>
  <c r="M73" i="13"/>
  <c r="M113" i="13" s="1"/>
  <c r="M153" i="13" s="1"/>
  <c r="K73" i="13"/>
  <c r="K113" i="13" s="1"/>
  <c r="K153" i="13" s="1"/>
  <c r="H73" i="13"/>
  <c r="H113" i="13" s="1"/>
  <c r="H153" i="13" s="1"/>
  <c r="B73" i="13"/>
  <c r="B113" i="13" s="1"/>
  <c r="B153" i="13" s="1"/>
  <c r="A73" i="13"/>
  <c r="A113" i="13" s="1"/>
  <c r="A153" i="13" s="1"/>
  <c r="P72" i="13"/>
  <c r="P112" i="13" s="1"/>
  <c r="P152" i="13" s="1"/>
  <c r="M72" i="13"/>
  <c r="M112" i="13" s="1"/>
  <c r="M152" i="13" s="1"/>
  <c r="K72" i="13"/>
  <c r="K112" i="13" s="1"/>
  <c r="K152" i="13" s="1"/>
  <c r="H72" i="13"/>
  <c r="H112" i="13" s="1"/>
  <c r="H152" i="13" s="1"/>
  <c r="B72" i="13"/>
  <c r="B112" i="13" s="1"/>
  <c r="B152" i="13" s="1"/>
  <c r="A72" i="13"/>
  <c r="A112" i="13" s="1"/>
  <c r="A152" i="13" s="1"/>
  <c r="P71" i="13"/>
  <c r="P111" i="13" s="1"/>
  <c r="P151" i="13" s="1"/>
  <c r="M71" i="13"/>
  <c r="M111" i="13" s="1"/>
  <c r="M151" i="13" s="1"/>
  <c r="K71" i="13"/>
  <c r="K111" i="13" s="1"/>
  <c r="K151" i="13" s="1"/>
  <c r="H71" i="13"/>
  <c r="H111" i="13" s="1"/>
  <c r="H151" i="13" s="1"/>
  <c r="B71" i="13"/>
  <c r="B111" i="13" s="1"/>
  <c r="B151" i="13" s="1"/>
  <c r="A71" i="13"/>
  <c r="A111" i="13" s="1"/>
  <c r="A151" i="13" s="1"/>
  <c r="P70" i="13"/>
  <c r="P110" i="13" s="1"/>
  <c r="P150" i="13" s="1"/>
  <c r="M70" i="13"/>
  <c r="M110" i="13" s="1"/>
  <c r="M150" i="13" s="1"/>
  <c r="K70" i="13"/>
  <c r="K110" i="13" s="1"/>
  <c r="K150" i="13" s="1"/>
  <c r="H70" i="13"/>
  <c r="H110" i="13" s="1"/>
  <c r="H150" i="13" s="1"/>
  <c r="B70" i="13"/>
  <c r="B110" i="13" s="1"/>
  <c r="B150" i="13" s="1"/>
  <c r="A70" i="13"/>
  <c r="A110" i="13" s="1"/>
  <c r="A150" i="13" s="1"/>
  <c r="P69" i="13"/>
  <c r="P109" i="13" s="1"/>
  <c r="P149" i="13" s="1"/>
  <c r="M69" i="13"/>
  <c r="M109" i="13" s="1"/>
  <c r="M149" i="13" s="1"/>
  <c r="K69" i="13"/>
  <c r="K109" i="13" s="1"/>
  <c r="K149" i="13" s="1"/>
  <c r="H69" i="13"/>
  <c r="H109" i="13" s="1"/>
  <c r="H149" i="13" s="1"/>
  <c r="B69" i="13"/>
  <c r="B109" i="13" s="1"/>
  <c r="B149" i="13" s="1"/>
  <c r="A69" i="13"/>
  <c r="A109" i="13" s="1"/>
  <c r="A149" i="13" s="1"/>
  <c r="P68" i="13"/>
  <c r="P108" i="13" s="1"/>
  <c r="P148" i="13" s="1"/>
  <c r="M68" i="13"/>
  <c r="M108" i="13" s="1"/>
  <c r="M148" i="13" s="1"/>
  <c r="K68" i="13"/>
  <c r="K108" i="13" s="1"/>
  <c r="K148" i="13" s="1"/>
  <c r="H68" i="13"/>
  <c r="H108" i="13" s="1"/>
  <c r="H148" i="13" s="1"/>
  <c r="B68" i="13"/>
  <c r="B108" i="13" s="1"/>
  <c r="B148" i="13" s="1"/>
  <c r="A68" i="13"/>
  <c r="A108" i="13" s="1"/>
  <c r="A148" i="13" s="1"/>
  <c r="P67" i="13"/>
  <c r="P107" i="13" s="1"/>
  <c r="P147" i="13" s="1"/>
  <c r="M67" i="13"/>
  <c r="M107" i="13" s="1"/>
  <c r="M147" i="13" s="1"/>
  <c r="K67" i="13"/>
  <c r="K107" i="13" s="1"/>
  <c r="K147" i="13" s="1"/>
  <c r="H67" i="13"/>
  <c r="H107" i="13" s="1"/>
  <c r="H147" i="13" s="1"/>
  <c r="B67" i="13"/>
  <c r="B107" i="13" s="1"/>
  <c r="B147" i="13" s="1"/>
  <c r="A67" i="13"/>
  <c r="A107" i="13" s="1"/>
  <c r="A147" i="13" s="1"/>
  <c r="P66" i="13"/>
  <c r="P106" i="13" s="1"/>
  <c r="P146" i="13" s="1"/>
  <c r="M66" i="13"/>
  <c r="M106" i="13" s="1"/>
  <c r="M146" i="13" s="1"/>
  <c r="K66" i="13"/>
  <c r="K106" i="13" s="1"/>
  <c r="K146" i="13" s="1"/>
  <c r="H66" i="13"/>
  <c r="H106" i="13" s="1"/>
  <c r="H146" i="13" s="1"/>
  <c r="B66" i="13"/>
  <c r="B106" i="13" s="1"/>
  <c r="B146" i="13" s="1"/>
  <c r="A66" i="13"/>
  <c r="A106" i="13" s="1"/>
  <c r="A146" i="13" s="1"/>
  <c r="P65" i="13"/>
  <c r="P105" i="13" s="1"/>
  <c r="P145" i="13" s="1"/>
  <c r="M65" i="13"/>
  <c r="M105" i="13" s="1"/>
  <c r="M145" i="13" s="1"/>
  <c r="K65" i="13"/>
  <c r="K105" i="13" s="1"/>
  <c r="K145" i="13" s="1"/>
  <c r="H65" i="13"/>
  <c r="H105" i="13" s="1"/>
  <c r="H145" i="13" s="1"/>
  <c r="B65" i="13"/>
  <c r="B105" i="13" s="1"/>
  <c r="B145" i="13" s="1"/>
  <c r="A65" i="13"/>
  <c r="A105" i="13" s="1"/>
  <c r="A145" i="13" s="1"/>
  <c r="P64" i="13"/>
  <c r="P104" i="13" s="1"/>
  <c r="P144" i="13" s="1"/>
  <c r="M64" i="13"/>
  <c r="M104" i="13" s="1"/>
  <c r="M144" i="13" s="1"/>
  <c r="K64" i="13"/>
  <c r="K104" i="13" s="1"/>
  <c r="K144" i="13" s="1"/>
  <c r="H64" i="13"/>
  <c r="H104" i="13" s="1"/>
  <c r="H144" i="13" s="1"/>
  <c r="B64" i="13"/>
  <c r="B104" i="13" s="1"/>
  <c r="B144" i="13" s="1"/>
  <c r="A64" i="13"/>
  <c r="A104" i="13" s="1"/>
  <c r="A144" i="13" s="1"/>
  <c r="P63" i="13"/>
  <c r="P103" i="13" s="1"/>
  <c r="P143" i="13" s="1"/>
  <c r="M63" i="13"/>
  <c r="M103" i="13" s="1"/>
  <c r="M143" i="13" s="1"/>
  <c r="K63" i="13"/>
  <c r="K103" i="13" s="1"/>
  <c r="K143" i="13" s="1"/>
  <c r="H63" i="13"/>
  <c r="H103" i="13" s="1"/>
  <c r="H143" i="13" s="1"/>
  <c r="B63" i="13"/>
  <c r="B103" i="13" s="1"/>
  <c r="B143" i="13" s="1"/>
  <c r="A63" i="13"/>
  <c r="A103" i="13" s="1"/>
  <c r="A143" i="13" s="1"/>
  <c r="P62" i="13"/>
  <c r="P102" i="13" s="1"/>
  <c r="P142" i="13" s="1"/>
  <c r="M62" i="13"/>
  <c r="M102" i="13" s="1"/>
  <c r="M142" i="13" s="1"/>
  <c r="K62" i="13"/>
  <c r="K102" i="13" s="1"/>
  <c r="K142" i="13" s="1"/>
  <c r="H62" i="13"/>
  <c r="H102" i="13" s="1"/>
  <c r="H142" i="13" s="1"/>
  <c r="B62" i="13"/>
  <c r="B102" i="13" s="1"/>
  <c r="B142" i="13" s="1"/>
  <c r="A62" i="13"/>
  <c r="A102" i="13" s="1"/>
  <c r="A142" i="13" s="1"/>
  <c r="P61" i="13"/>
  <c r="P101" i="13" s="1"/>
  <c r="P141" i="13" s="1"/>
  <c r="M61" i="13"/>
  <c r="M101" i="13" s="1"/>
  <c r="M141" i="13" s="1"/>
  <c r="K61" i="13"/>
  <c r="K101" i="13" s="1"/>
  <c r="K141" i="13" s="1"/>
  <c r="H61" i="13"/>
  <c r="H101" i="13" s="1"/>
  <c r="H141" i="13" s="1"/>
  <c r="B61" i="13"/>
  <c r="B101" i="13" s="1"/>
  <c r="B141" i="13" s="1"/>
  <c r="A61" i="13"/>
  <c r="A101" i="13" s="1"/>
  <c r="A141" i="13" s="1"/>
  <c r="P60" i="13"/>
  <c r="P100" i="13" s="1"/>
  <c r="P140" i="13" s="1"/>
  <c r="M60" i="13"/>
  <c r="M100" i="13" s="1"/>
  <c r="M140" i="13" s="1"/>
  <c r="K60" i="13"/>
  <c r="K100" i="13" s="1"/>
  <c r="K140" i="13" s="1"/>
  <c r="H60" i="13"/>
  <c r="H100" i="13" s="1"/>
  <c r="H140" i="13" s="1"/>
  <c r="B60" i="13"/>
  <c r="B100" i="13" s="1"/>
  <c r="B140" i="13" s="1"/>
  <c r="A60" i="13"/>
  <c r="A100" i="13" s="1"/>
  <c r="A140" i="13" s="1"/>
  <c r="P59" i="13"/>
  <c r="P99" i="13" s="1"/>
  <c r="P139" i="13" s="1"/>
  <c r="M59" i="13"/>
  <c r="M99" i="13" s="1"/>
  <c r="M139" i="13" s="1"/>
  <c r="K59" i="13"/>
  <c r="K99" i="13" s="1"/>
  <c r="K139" i="13" s="1"/>
  <c r="H59" i="13"/>
  <c r="H99" i="13" s="1"/>
  <c r="H139" i="13" s="1"/>
  <c r="B59" i="13"/>
  <c r="B99" i="13" s="1"/>
  <c r="B139" i="13" s="1"/>
  <c r="A59" i="13"/>
  <c r="A99" i="13" s="1"/>
  <c r="A139" i="13" s="1"/>
  <c r="P58" i="13"/>
  <c r="P98" i="13" s="1"/>
  <c r="P138" i="13" s="1"/>
  <c r="M58" i="13"/>
  <c r="M98" i="13" s="1"/>
  <c r="M138" i="13" s="1"/>
  <c r="K58" i="13"/>
  <c r="K98" i="13" s="1"/>
  <c r="K138" i="13" s="1"/>
  <c r="H58" i="13"/>
  <c r="H98" i="13" s="1"/>
  <c r="H138" i="13" s="1"/>
  <c r="B58" i="13"/>
  <c r="B98" i="13" s="1"/>
  <c r="B138" i="13" s="1"/>
  <c r="A58" i="13"/>
  <c r="A98" i="13" s="1"/>
  <c r="A138" i="13" s="1"/>
  <c r="P57" i="13"/>
  <c r="P97" i="13" s="1"/>
  <c r="P137" i="13" s="1"/>
  <c r="M57" i="13"/>
  <c r="M97" i="13" s="1"/>
  <c r="M137" i="13" s="1"/>
  <c r="K57" i="13"/>
  <c r="K97" i="13" s="1"/>
  <c r="K137" i="13" s="1"/>
  <c r="H57" i="13"/>
  <c r="H97" i="13" s="1"/>
  <c r="H137" i="13" s="1"/>
  <c r="B57" i="13"/>
  <c r="B97" i="13" s="1"/>
  <c r="B137" i="13" s="1"/>
  <c r="A57" i="13"/>
  <c r="A97" i="13" s="1"/>
  <c r="A137" i="13" s="1"/>
  <c r="P56" i="13"/>
  <c r="P96" i="13" s="1"/>
  <c r="P136" i="13" s="1"/>
  <c r="M56" i="13"/>
  <c r="M96" i="13" s="1"/>
  <c r="M136" i="13" s="1"/>
  <c r="K56" i="13"/>
  <c r="K96" i="13" s="1"/>
  <c r="K136" i="13" s="1"/>
  <c r="H56" i="13"/>
  <c r="H96" i="13" s="1"/>
  <c r="H136" i="13" s="1"/>
  <c r="B56" i="13"/>
  <c r="B96" i="13" s="1"/>
  <c r="B136" i="13" s="1"/>
  <c r="A56" i="13"/>
  <c r="A96" i="13" s="1"/>
  <c r="A136" i="13" s="1"/>
  <c r="P55" i="13"/>
  <c r="P95" i="13" s="1"/>
  <c r="P135" i="13" s="1"/>
  <c r="M55" i="13"/>
  <c r="M95" i="13" s="1"/>
  <c r="M135" i="13" s="1"/>
  <c r="K55" i="13"/>
  <c r="K95" i="13" s="1"/>
  <c r="H55" i="13"/>
  <c r="H95" i="13" s="1"/>
  <c r="B55" i="13"/>
  <c r="B95" i="13" s="1"/>
  <c r="B135" i="13" s="1"/>
  <c r="A55" i="13"/>
  <c r="A95" i="13" s="1"/>
  <c r="A135" i="13" s="1"/>
  <c r="C54" i="13"/>
  <c r="C94" i="13" s="1"/>
  <c r="C134" i="13" s="1"/>
  <c r="C53" i="13"/>
  <c r="C93" i="13" s="1"/>
  <c r="C133" i="13" s="1"/>
  <c r="B53" i="13"/>
  <c r="B93" i="13" s="1"/>
  <c r="B133" i="13" s="1"/>
  <c r="L49" i="13"/>
  <c r="L89" i="13" s="1"/>
  <c r="L129" i="13" s="1"/>
  <c r="L48" i="13"/>
  <c r="L88" i="13" s="1"/>
  <c r="L128" i="13" s="1"/>
  <c r="A48" i="13"/>
  <c r="A88" i="13" s="1"/>
  <c r="A128" i="13" s="1"/>
  <c r="L46" i="13"/>
  <c r="L86" i="13" s="1"/>
  <c r="L126" i="13" s="1"/>
  <c r="C46" i="13"/>
  <c r="C86" i="13" s="1"/>
  <c r="C126" i="13" s="1"/>
  <c r="M42" i="13"/>
  <c r="M82" i="13" s="1"/>
  <c r="M122" i="13" s="1"/>
  <c r="K35" i="13"/>
  <c r="H35" i="13"/>
  <c r="L47" i="13"/>
  <c r="L87" i="13" s="1"/>
  <c r="L127" i="13" s="1"/>
  <c r="M78" i="12"/>
  <c r="M118" i="12" s="1"/>
  <c r="M158" i="12" s="1"/>
  <c r="D78" i="12"/>
  <c r="D118" i="12" s="1"/>
  <c r="D158" i="12" s="1"/>
  <c r="M77" i="12"/>
  <c r="M117" i="12" s="1"/>
  <c r="M157" i="12" s="1"/>
  <c r="D77" i="12"/>
  <c r="D117" i="12" s="1"/>
  <c r="D157" i="12" s="1"/>
  <c r="P74" i="12"/>
  <c r="P114" i="12" s="1"/>
  <c r="P154" i="12" s="1"/>
  <c r="M74" i="12"/>
  <c r="M114" i="12" s="1"/>
  <c r="M154" i="12" s="1"/>
  <c r="K74" i="12"/>
  <c r="K114" i="12" s="1"/>
  <c r="K154" i="12" s="1"/>
  <c r="H74" i="12"/>
  <c r="H114" i="12" s="1"/>
  <c r="H154" i="12" s="1"/>
  <c r="B74" i="12"/>
  <c r="B114" i="12" s="1"/>
  <c r="B154" i="12" s="1"/>
  <c r="A74" i="12"/>
  <c r="A114" i="12" s="1"/>
  <c r="A154" i="12" s="1"/>
  <c r="P73" i="12"/>
  <c r="P113" i="12" s="1"/>
  <c r="P153" i="12" s="1"/>
  <c r="M73" i="12"/>
  <c r="M113" i="12" s="1"/>
  <c r="M153" i="12" s="1"/>
  <c r="K73" i="12"/>
  <c r="K113" i="12" s="1"/>
  <c r="K153" i="12" s="1"/>
  <c r="H73" i="12"/>
  <c r="H113" i="12" s="1"/>
  <c r="H153" i="12" s="1"/>
  <c r="B73" i="12"/>
  <c r="B113" i="12" s="1"/>
  <c r="B153" i="12" s="1"/>
  <c r="A73" i="12"/>
  <c r="A113" i="12" s="1"/>
  <c r="A153" i="12" s="1"/>
  <c r="P72" i="12"/>
  <c r="P112" i="12" s="1"/>
  <c r="P152" i="12" s="1"/>
  <c r="M72" i="12"/>
  <c r="M112" i="12" s="1"/>
  <c r="M152" i="12" s="1"/>
  <c r="K72" i="12"/>
  <c r="K112" i="12" s="1"/>
  <c r="K152" i="12" s="1"/>
  <c r="H72" i="12"/>
  <c r="H112" i="12" s="1"/>
  <c r="H152" i="12" s="1"/>
  <c r="B72" i="12"/>
  <c r="B112" i="12" s="1"/>
  <c r="B152" i="12" s="1"/>
  <c r="A72" i="12"/>
  <c r="A112" i="12" s="1"/>
  <c r="A152" i="12" s="1"/>
  <c r="P71" i="12"/>
  <c r="P111" i="12" s="1"/>
  <c r="P151" i="12" s="1"/>
  <c r="M71" i="12"/>
  <c r="M111" i="12" s="1"/>
  <c r="M151" i="12" s="1"/>
  <c r="K71" i="12"/>
  <c r="K111" i="12" s="1"/>
  <c r="K151" i="12" s="1"/>
  <c r="H71" i="12"/>
  <c r="H111" i="12" s="1"/>
  <c r="H151" i="12" s="1"/>
  <c r="B71" i="12"/>
  <c r="B111" i="12" s="1"/>
  <c r="B151" i="12" s="1"/>
  <c r="A71" i="12"/>
  <c r="A111" i="12" s="1"/>
  <c r="A151" i="12" s="1"/>
  <c r="P70" i="12"/>
  <c r="P110" i="12" s="1"/>
  <c r="P150" i="12" s="1"/>
  <c r="M70" i="12"/>
  <c r="M110" i="12" s="1"/>
  <c r="M150" i="12" s="1"/>
  <c r="K70" i="12"/>
  <c r="K110" i="12" s="1"/>
  <c r="K150" i="12" s="1"/>
  <c r="H70" i="12"/>
  <c r="H110" i="12" s="1"/>
  <c r="H150" i="12" s="1"/>
  <c r="B70" i="12"/>
  <c r="B110" i="12" s="1"/>
  <c r="B150" i="12" s="1"/>
  <c r="A70" i="12"/>
  <c r="A110" i="12" s="1"/>
  <c r="A150" i="12" s="1"/>
  <c r="P69" i="12"/>
  <c r="P109" i="12" s="1"/>
  <c r="P149" i="12" s="1"/>
  <c r="M69" i="12"/>
  <c r="M109" i="12" s="1"/>
  <c r="M149" i="12" s="1"/>
  <c r="K69" i="12"/>
  <c r="K109" i="12" s="1"/>
  <c r="K149" i="12" s="1"/>
  <c r="H69" i="12"/>
  <c r="H109" i="12" s="1"/>
  <c r="H149" i="12" s="1"/>
  <c r="B69" i="12"/>
  <c r="B109" i="12" s="1"/>
  <c r="B149" i="12" s="1"/>
  <c r="A69" i="12"/>
  <c r="A109" i="12" s="1"/>
  <c r="A149" i="12" s="1"/>
  <c r="P68" i="12"/>
  <c r="P108" i="12" s="1"/>
  <c r="P148" i="12" s="1"/>
  <c r="M68" i="12"/>
  <c r="M108" i="12" s="1"/>
  <c r="M148" i="12" s="1"/>
  <c r="K68" i="12"/>
  <c r="K108" i="12" s="1"/>
  <c r="K148" i="12" s="1"/>
  <c r="H68" i="12"/>
  <c r="H108" i="12" s="1"/>
  <c r="H148" i="12" s="1"/>
  <c r="B68" i="12"/>
  <c r="B108" i="12" s="1"/>
  <c r="B148" i="12" s="1"/>
  <c r="A68" i="12"/>
  <c r="A108" i="12" s="1"/>
  <c r="A148" i="12" s="1"/>
  <c r="P67" i="12"/>
  <c r="P107" i="12" s="1"/>
  <c r="P147" i="12" s="1"/>
  <c r="M67" i="12"/>
  <c r="M107" i="12" s="1"/>
  <c r="M147" i="12" s="1"/>
  <c r="K67" i="12"/>
  <c r="K107" i="12" s="1"/>
  <c r="K147" i="12" s="1"/>
  <c r="H67" i="12"/>
  <c r="H107" i="12" s="1"/>
  <c r="H147" i="12" s="1"/>
  <c r="B67" i="12"/>
  <c r="B107" i="12" s="1"/>
  <c r="B147" i="12" s="1"/>
  <c r="A67" i="12"/>
  <c r="A107" i="12" s="1"/>
  <c r="A147" i="12" s="1"/>
  <c r="P66" i="12"/>
  <c r="P106" i="12" s="1"/>
  <c r="P146" i="12" s="1"/>
  <c r="M66" i="12"/>
  <c r="M106" i="12" s="1"/>
  <c r="M146" i="12" s="1"/>
  <c r="K66" i="12"/>
  <c r="K106" i="12" s="1"/>
  <c r="K146" i="12" s="1"/>
  <c r="H66" i="12"/>
  <c r="H106" i="12" s="1"/>
  <c r="H146" i="12" s="1"/>
  <c r="B66" i="12"/>
  <c r="B106" i="12" s="1"/>
  <c r="B146" i="12" s="1"/>
  <c r="A66" i="12"/>
  <c r="A106" i="12" s="1"/>
  <c r="A146" i="12" s="1"/>
  <c r="P65" i="12"/>
  <c r="P105" i="12" s="1"/>
  <c r="P145" i="12" s="1"/>
  <c r="M65" i="12"/>
  <c r="M105" i="12" s="1"/>
  <c r="M145" i="12" s="1"/>
  <c r="K65" i="12"/>
  <c r="K105" i="12" s="1"/>
  <c r="K145" i="12" s="1"/>
  <c r="H65" i="12"/>
  <c r="H105" i="12" s="1"/>
  <c r="H145" i="12" s="1"/>
  <c r="B65" i="12"/>
  <c r="B105" i="12" s="1"/>
  <c r="B145" i="12" s="1"/>
  <c r="A65" i="12"/>
  <c r="A105" i="12" s="1"/>
  <c r="A145" i="12" s="1"/>
  <c r="P64" i="12"/>
  <c r="P104" i="12" s="1"/>
  <c r="P144" i="12" s="1"/>
  <c r="M64" i="12"/>
  <c r="M104" i="12" s="1"/>
  <c r="M144" i="12" s="1"/>
  <c r="K64" i="12"/>
  <c r="K104" i="12" s="1"/>
  <c r="K144" i="12" s="1"/>
  <c r="H64" i="12"/>
  <c r="H104" i="12" s="1"/>
  <c r="H144" i="12" s="1"/>
  <c r="B64" i="12"/>
  <c r="B104" i="12" s="1"/>
  <c r="B144" i="12" s="1"/>
  <c r="A64" i="12"/>
  <c r="A104" i="12" s="1"/>
  <c r="A144" i="12" s="1"/>
  <c r="P63" i="12"/>
  <c r="P103" i="12" s="1"/>
  <c r="P143" i="12" s="1"/>
  <c r="M63" i="12"/>
  <c r="M103" i="12" s="1"/>
  <c r="M143" i="12" s="1"/>
  <c r="K63" i="12"/>
  <c r="K103" i="12" s="1"/>
  <c r="K143" i="12" s="1"/>
  <c r="H63" i="12"/>
  <c r="H103" i="12" s="1"/>
  <c r="H143" i="12" s="1"/>
  <c r="B63" i="12"/>
  <c r="B103" i="12" s="1"/>
  <c r="B143" i="12" s="1"/>
  <c r="A63" i="12"/>
  <c r="A103" i="12" s="1"/>
  <c r="A143" i="12" s="1"/>
  <c r="P62" i="12"/>
  <c r="P102" i="12" s="1"/>
  <c r="P142" i="12" s="1"/>
  <c r="M62" i="12"/>
  <c r="M102" i="12" s="1"/>
  <c r="M142" i="12" s="1"/>
  <c r="K62" i="12"/>
  <c r="K102" i="12" s="1"/>
  <c r="K142" i="12" s="1"/>
  <c r="H62" i="12"/>
  <c r="H102" i="12" s="1"/>
  <c r="H142" i="12" s="1"/>
  <c r="B62" i="12"/>
  <c r="B102" i="12" s="1"/>
  <c r="B142" i="12" s="1"/>
  <c r="A62" i="12"/>
  <c r="A102" i="12" s="1"/>
  <c r="A142" i="12" s="1"/>
  <c r="P61" i="12"/>
  <c r="P101" i="12" s="1"/>
  <c r="P141" i="12" s="1"/>
  <c r="M61" i="12"/>
  <c r="M101" i="12" s="1"/>
  <c r="M141" i="12" s="1"/>
  <c r="K61" i="12"/>
  <c r="K101" i="12" s="1"/>
  <c r="K141" i="12" s="1"/>
  <c r="H61" i="12"/>
  <c r="H101" i="12" s="1"/>
  <c r="H141" i="12" s="1"/>
  <c r="B61" i="12"/>
  <c r="B101" i="12" s="1"/>
  <c r="B141" i="12" s="1"/>
  <c r="A61" i="12"/>
  <c r="A101" i="12" s="1"/>
  <c r="A141" i="12" s="1"/>
  <c r="P60" i="12"/>
  <c r="P100" i="12" s="1"/>
  <c r="P140" i="12" s="1"/>
  <c r="M60" i="12"/>
  <c r="M100" i="12" s="1"/>
  <c r="M140" i="12" s="1"/>
  <c r="K60" i="12"/>
  <c r="K100" i="12" s="1"/>
  <c r="K140" i="12" s="1"/>
  <c r="H60" i="12"/>
  <c r="H100" i="12" s="1"/>
  <c r="H140" i="12" s="1"/>
  <c r="B60" i="12"/>
  <c r="B100" i="12" s="1"/>
  <c r="B140" i="12" s="1"/>
  <c r="A60" i="12"/>
  <c r="A100" i="12" s="1"/>
  <c r="A140" i="12" s="1"/>
  <c r="P59" i="12"/>
  <c r="P99" i="12" s="1"/>
  <c r="P139" i="12" s="1"/>
  <c r="M59" i="12"/>
  <c r="M99" i="12" s="1"/>
  <c r="M139" i="12" s="1"/>
  <c r="K59" i="12"/>
  <c r="K99" i="12" s="1"/>
  <c r="K139" i="12" s="1"/>
  <c r="H59" i="12"/>
  <c r="H99" i="12" s="1"/>
  <c r="H139" i="12" s="1"/>
  <c r="B59" i="12"/>
  <c r="B99" i="12" s="1"/>
  <c r="B139" i="12" s="1"/>
  <c r="A59" i="12"/>
  <c r="A99" i="12" s="1"/>
  <c r="A139" i="12" s="1"/>
  <c r="P58" i="12"/>
  <c r="P98" i="12" s="1"/>
  <c r="P138" i="12" s="1"/>
  <c r="M58" i="12"/>
  <c r="M98" i="12" s="1"/>
  <c r="M138" i="12" s="1"/>
  <c r="K58" i="12"/>
  <c r="K98" i="12" s="1"/>
  <c r="K138" i="12" s="1"/>
  <c r="H58" i="12"/>
  <c r="H98" i="12" s="1"/>
  <c r="H138" i="12" s="1"/>
  <c r="B58" i="12"/>
  <c r="B98" i="12" s="1"/>
  <c r="B138" i="12" s="1"/>
  <c r="A58" i="12"/>
  <c r="A98" i="12" s="1"/>
  <c r="A138" i="12" s="1"/>
  <c r="P57" i="12"/>
  <c r="P97" i="12" s="1"/>
  <c r="P137" i="12" s="1"/>
  <c r="M57" i="12"/>
  <c r="M97" i="12" s="1"/>
  <c r="M137" i="12" s="1"/>
  <c r="K57" i="12"/>
  <c r="K97" i="12" s="1"/>
  <c r="K137" i="12" s="1"/>
  <c r="H57" i="12"/>
  <c r="H97" i="12" s="1"/>
  <c r="H137" i="12" s="1"/>
  <c r="B57" i="12"/>
  <c r="B97" i="12" s="1"/>
  <c r="B137" i="12" s="1"/>
  <c r="A57" i="12"/>
  <c r="A97" i="12" s="1"/>
  <c r="A137" i="12" s="1"/>
  <c r="P56" i="12"/>
  <c r="P96" i="12" s="1"/>
  <c r="P136" i="12" s="1"/>
  <c r="M56" i="12"/>
  <c r="M96" i="12" s="1"/>
  <c r="M136" i="12" s="1"/>
  <c r="K56" i="12"/>
  <c r="K96" i="12" s="1"/>
  <c r="K136" i="12" s="1"/>
  <c r="H56" i="12"/>
  <c r="H96" i="12" s="1"/>
  <c r="H136" i="12" s="1"/>
  <c r="B56" i="12"/>
  <c r="B96" i="12" s="1"/>
  <c r="B136" i="12" s="1"/>
  <c r="A56" i="12"/>
  <c r="A96" i="12" s="1"/>
  <c r="A136" i="12" s="1"/>
  <c r="P55" i="12"/>
  <c r="P95" i="12" s="1"/>
  <c r="P135" i="12" s="1"/>
  <c r="M55" i="12"/>
  <c r="M95" i="12" s="1"/>
  <c r="M135" i="12" s="1"/>
  <c r="K55" i="12"/>
  <c r="K95" i="12" s="1"/>
  <c r="H55" i="12"/>
  <c r="H95" i="12" s="1"/>
  <c r="B55" i="12"/>
  <c r="B95" i="12" s="1"/>
  <c r="B135" i="12" s="1"/>
  <c r="A55" i="12"/>
  <c r="A95" i="12" s="1"/>
  <c r="A135" i="12" s="1"/>
  <c r="C54" i="12"/>
  <c r="C94" i="12" s="1"/>
  <c r="C134" i="12" s="1"/>
  <c r="C53" i="12"/>
  <c r="C93" i="12" s="1"/>
  <c r="C133" i="12" s="1"/>
  <c r="B53" i="12"/>
  <c r="B93" i="12" s="1"/>
  <c r="B133" i="12" s="1"/>
  <c r="L49" i="12"/>
  <c r="L89" i="12" s="1"/>
  <c r="L129" i="12" s="1"/>
  <c r="L48" i="12"/>
  <c r="L88" i="12" s="1"/>
  <c r="L128" i="12" s="1"/>
  <c r="A48" i="12"/>
  <c r="A88" i="12" s="1"/>
  <c r="A128" i="12" s="1"/>
  <c r="L46" i="12"/>
  <c r="L86" i="12" s="1"/>
  <c r="L126" i="12" s="1"/>
  <c r="C46" i="12"/>
  <c r="C86" i="12" s="1"/>
  <c r="C126" i="12" s="1"/>
  <c r="M42" i="12"/>
  <c r="M82" i="12" s="1"/>
  <c r="M122" i="12" s="1"/>
  <c r="K35" i="12"/>
  <c r="H35" i="12"/>
  <c r="L47" i="12"/>
  <c r="L87" i="12" s="1"/>
  <c r="L127" i="12" s="1"/>
  <c r="A108" i="11"/>
  <c r="A148" i="11" s="1"/>
  <c r="M78" i="11"/>
  <c r="M118" i="11" s="1"/>
  <c r="M158" i="11" s="1"/>
  <c r="D78" i="11"/>
  <c r="D118" i="11" s="1"/>
  <c r="D158" i="11" s="1"/>
  <c r="M77" i="11"/>
  <c r="M117" i="11" s="1"/>
  <c r="M157" i="11" s="1"/>
  <c r="D77" i="11"/>
  <c r="D117" i="11" s="1"/>
  <c r="D157" i="11" s="1"/>
  <c r="P74" i="11"/>
  <c r="P114" i="11" s="1"/>
  <c r="P154" i="11" s="1"/>
  <c r="M74" i="11"/>
  <c r="M114" i="11" s="1"/>
  <c r="M154" i="11" s="1"/>
  <c r="K74" i="11"/>
  <c r="K114" i="11" s="1"/>
  <c r="K154" i="11" s="1"/>
  <c r="H74" i="11"/>
  <c r="H114" i="11" s="1"/>
  <c r="H154" i="11" s="1"/>
  <c r="B74" i="11"/>
  <c r="B114" i="11" s="1"/>
  <c r="B154" i="11" s="1"/>
  <c r="A74" i="11"/>
  <c r="A114" i="11" s="1"/>
  <c r="A154" i="11" s="1"/>
  <c r="P73" i="11"/>
  <c r="P113" i="11" s="1"/>
  <c r="P153" i="11" s="1"/>
  <c r="M73" i="11"/>
  <c r="M113" i="11" s="1"/>
  <c r="M153" i="11" s="1"/>
  <c r="K73" i="11"/>
  <c r="K113" i="11" s="1"/>
  <c r="K153" i="11" s="1"/>
  <c r="H73" i="11"/>
  <c r="H113" i="11" s="1"/>
  <c r="H153" i="11" s="1"/>
  <c r="B73" i="11"/>
  <c r="B113" i="11" s="1"/>
  <c r="B153" i="11" s="1"/>
  <c r="A73" i="11"/>
  <c r="A113" i="11" s="1"/>
  <c r="A153" i="11" s="1"/>
  <c r="P72" i="11"/>
  <c r="P112" i="11" s="1"/>
  <c r="P152" i="11" s="1"/>
  <c r="M72" i="11"/>
  <c r="M112" i="11" s="1"/>
  <c r="M152" i="11" s="1"/>
  <c r="K72" i="11"/>
  <c r="K112" i="11" s="1"/>
  <c r="K152" i="11" s="1"/>
  <c r="H72" i="11"/>
  <c r="H112" i="11" s="1"/>
  <c r="H152" i="11" s="1"/>
  <c r="B72" i="11"/>
  <c r="B112" i="11" s="1"/>
  <c r="B152" i="11" s="1"/>
  <c r="A72" i="11"/>
  <c r="A112" i="11" s="1"/>
  <c r="A152" i="11" s="1"/>
  <c r="P71" i="11"/>
  <c r="P111" i="11" s="1"/>
  <c r="P151" i="11" s="1"/>
  <c r="M71" i="11"/>
  <c r="M111" i="11" s="1"/>
  <c r="M151" i="11" s="1"/>
  <c r="K71" i="11"/>
  <c r="K111" i="11" s="1"/>
  <c r="K151" i="11" s="1"/>
  <c r="H71" i="11"/>
  <c r="H111" i="11" s="1"/>
  <c r="H151" i="11" s="1"/>
  <c r="B71" i="11"/>
  <c r="B111" i="11" s="1"/>
  <c r="B151" i="11" s="1"/>
  <c r="A71" i="11"/>
  <c r="A111" i="11" s="1"/>
  <c r="A151" i="11" s="1"/>
  <c r="P70" i="11"/>
  <c r="P110" i="11" s="1"/>
  <c r="P150" i="11" s="1"/>
  <c r="M70" i="11"/>
  <c r="M110" i="11" s="1"/>
  <c r="M150" i="11" s="1"/>
  <c r="K70" i="11"/>
  <c r="K110" i="11" s="1"/>
  <c r="K150" i="11" s="1"/>
  <c r="H70" i="11"/>
  <c r="H110" i="11" s="1"/>
  <c r="H150" i="11" s="1"/>
  <c r="B70" i="11"/>
  <c r="B110" i="11" s="1"/>
  <c r="B150" i="11" s="1"/>
  <c r="A70" i="11"/>
  <c r="A110" i="11" s="1"/>
  <c r="A150" i="11" s="1"/>
  <c r="P69" i="11"/>
  <c r="P109" i="11" s="1"/>
  <c r="P149" i="11" s="1"/>
  <c r="M69" i="11"/>
  <c r="M109" i="11" s="1"/>
  <c r="M149" i="11" s="1"/>
  <c r="K69" i="11"/>
  <c r="K109" i="11" s="1"/>
  <c r="K149" i="11" s="1"/>
  <c r="H69" i="11"/>
  <c r="H109" i="11" s="1"/>
  <c r="H149" i="11" s="1"/>
  <c r="B69" i="11"/>
  <c r="B109" i="11" s="1"/>
  <c r="B149" i="11" s="1"/>
  <c r="A69" i="11"/>
  <c r="A109" i="11" s="1"/>
  <c r="A149" i="11" s="1"/>
  <c r="P68" i="11"/>
  <c r="P108" i="11" s="1"/>
  <c r="P148" i="11" s="1"/>
  <c r="M68" i="11"/>
  <c r="M108" i="11" s="1"/>
  <c r="M148" i="11" s="1"/>
  <c r="K68" i="11"/>
  <c r="K108" i="11" s="1"/>
  <c r="K148" i="11" s="1"/>
  <c r="H68" i="11"/>
  <c r="H108" i="11" s="1"/>
  <c r="H148" i="11" s="1"/>
  <c r="B68" i="11"/>
  <c r="B108" i="11" s="1"/>
  <c r="B148" i="11" s="1"/>
  <c r="A68" i="11"/>
  <c r="P67" i="11"/>
  <c r="P107" i="11" s="1"/>
  <c r="P147" i="11" s="1"/>
  <c r="M67" i="11"/>
  <c r="M107" i="11" s="1"/>
  <c r="M147" i="11" s="1"/>
  <c r="K67" i="11"/>
  <c r="K107" i="11" s="1"/>
  <c r="K147" i="11" s="1"/>
  <c r="H67" i="11"/>
  <c r="H107" i="11" s="1"/>
  <c r="H147" i="11" s="1"/>
  <c r="B67" i="11"/>
  <c r="B107" i="11" s="1"/>
  <c r="B147" i="11" s="1"/>
  <c r="A67" i="11"/>
  <c r="A107" i="11" s="1"/>
  <c r="A147" i="11" s="1"/>
  <c r="P66" i="11"/>
  <c r="P106" i="11" s="1"/>
  <c r="P146" i="11" s="1"/>
  <c r="M66" i="11"/>
  <c r="M106" i="11" s="1"/>
  <c r="M146" i="11" s="1"/>
  <c r="K66" i="11"/>
  <c r="K106" i="11" s="1"/>
  <c r="K146" i="11" s="1"/>
  <c r="H66" i="11"/>
  <c r="H106" i="11" s="1"/>
  <c r="H146" i="11" s="1"/>
  <c r="B66" i="11"/>
  <c r="B106" i="11" s="1"/>
  <c r="B146" i="11" s="1"/>
  <c r="A66" i="11"/>
  <c r="A106" i="11" s="1"/>
  <c r="A146" i="11" s="1"/>
  <c r="P65" i="11"/>
  <c r="P105" i="11" s="1"/>
  <c r="P145" i="11" s="1"/>
  <c r="M65" i="11"/>
  <c r="M105" i="11" s="1"/>
  <c r="M145" i="11" s="1"/>
  <c r="K65" i="11"/>
  <c r="K105" i="11" s="1"/>
  <c r="K145" i="11" s="1"/>
  <c r="H65" i="11"/>
  <c r="H105" i="11" s="1"/>
  <c r="H145" i="11" s="1"/>
  <c r="B65" i="11"/>
  <c r="B105" i="11" s="1"/>
  <c r="B145" i="11" s="1"/>
  <c r="A65" i="11"/>
  <c r="A105" i="11" s="1"/>
  <c r="A145" i="11" s="1"/>
  <c r="P64" i="11"/>
  <c r="P104" i="11" s="1"/>
  <c r="P144" i="11" s="1"/>
  <c r="M64" i="11"/>
  <c r="M104" i="11" s="1"/>
  <c r="M144" i="11" s="1"/>
  <c r="K64" i="11"/>
  <c r="K104" i="11" s="1"/>
  <c r="K144" i="11" s="1"/>
  <c r="H64" i="11"/>
  <c r="H104" i="11" s="1"/>
  <c r="H144" i="11" s="1"/>
  <c r="B64" i="11"/>
  <c r="B104" i="11" s="1"/>
  <c r="B144" i="11" s="1"/>
  <c r="A64" i="11"/>
  <c r="A104" i="11" s="1"/>
  <c r="A144" i="11" s="1"/>
  <c r="P63" i="11"/>
  <c r="P103" i="11" s="1"/>
  <c r="P143" i="11" s="1"/>
  <c r="M63" i="11"/>
  <c r="M103" i="11" s="1"/>
  <c r="M143" i="11" s="1"/>
  <c r="K63" i="11"/>
  <c r="K103" i="11" s="1"/>
  <c r="K143" i="11" s="1"/>
  <c r="H63" i="11"/>
  <c r="H103" i="11" s="1"/>
  <c r="H143" i="11" s="1"/>
  <c r="B63" i="11"/>
  <c r="B103" i="11" s="1"/>
  <c r="B143" i="11" s="1"/>
  <c r="A63" i="11"/>
  <c r="A103" i="11" s="1"/>
  <c r="A143" i="11" s="1"/>
  <c r="P62" i="11"/>
  <c r="P102" i="11" s="1"/>
  <c r="P142" i="11" s="1"/>
  <c r="M62" i="11"/>
  <c r="M102" i="11" s="1"/>
  <c r="M142" i="11" s="1"/>
  <c r="K62" i="11"/>
  <c r="K102" i="11" s="1"/>
  <c r="K142" i="11" s="1"/>
  <c r="H62" i="11"/>
  <c r="H102" i="11" s="1"/>
  <c r="H142" i="11" s="1"/>
  <c r="B62" i="11"/>
  <c r="B102" i="11" s="1"/>
  <c r="B142" i="11" s="1"/>
  <c r="A62" i="11"/>
  <c r="A102" i="11" s="1"/>
  <c r="A142" i="11" s="1"/>
  <c r="P61" i="11"/>
  <c r="P101" i="11" s="1"/>
  <c r="P141" i="11" s="1"/>
  <c r="M61" i="11"/>
  <c r="M101" i="11" s="1"/>
  <c r="M141" i="11" s="1"/>
  <c r="K61" i="11"/>
  <c r="K101" i="11" s="1"/>
  <c r="K141" i="11" s="1"/>
  <c r="H61" i="11"/>
  <c r="H101" i="11" s="1"/>
  <c r="H141" i="11" s="1"/>
  <c r="B61" i="11"/>
  <c r="B101" i="11" s="1"/>
  <c r="B141" i="11" s="1"/>
  <c r="A61" i="11"/>
  <c r="A101" i="11" s="1"/>
  <c r="A141" i="11" s="1"/>
  <c r="P60" i="11"/>
  <c r="P100" i="11" s="1"/>
  <c r="P140" i="11" s="1"/>
  <c r="M60" i="11"/>
  <c r="M100" i="11" s="1"/>
  <c r="M140" i="11" s="1"/>
  <c r="K60" i="11"/>
  <c r="K100" i="11" s="1"/>
  <c r="K140" i="11" s="1"/>
  <c r="H60" i="11"/>
  <c r="H100" i="11" s="1"/>
  <c r="H140" i="11" s="1"/>
  <c r="B60" i="11"/>
  <c r="B100" i="11" s="1"/>
  <c r="B140" i="11" s="1"/>
  <c r="A60" i="11"/>
  <c r="A100" i="11" s="1"/>
  <c r="A140" i="11" s="1"/>
  <c r="P59" i="11"/>
  <c r="P99" i="11" s="1"/>
  <c r="P139" i="11" s="1"/>
  <c r="M59" i="11"/>
  <c r="M99" i="11" s="1"/>
  <c r="M139" i="11" s="1"/>
  <c r="K59" i="11"/>
  <c r="K99" i="11" s="1"/>
  <c r="K139" i="11" s="1"/>
  <c r="H59" i="11"/>
  <c r="H99" i="11" s="1"/>
  <c r="H139" i="11" s="1"/>
  <c r="B59" i="11"/>
  <c r="B99" i="11" s="1"/>
  <c r="B139" i="11" s="1"/>
  <c r="A59" i="11"/>
  <c r="A99" i="11" s="1"/>
  <c r="A139" i="11" s="1"/>
  <c r="P58" i="11"/>
  <c r="P98" i="11" s="1"/>
  <c r="P138" i="11" s="1"/>
  <c r="M58" i="11"/>
  <c r="M98" i="11" s="1"/>
  <c r="M138" i="11" s="1"/>
  <c r="K58" i="11"/>
  <c r="K98" i="11" s="1"/>
  <c r="K138" i="11" s="1"/>
  <c r="H58" i="11"/>
  <c r="H98" i="11" s="1"/>
  <c r="H138" i="11" s="1"/>
  <c r="B58" i="11"/>
  <c r="B98" i="11" s="1"/>
  <c r="B138" i="11" s="1"/>
  <c r="A58" i="11"/>
  <c r="A98" i="11" s="1"/>
  <c r="A138" i="11" s="1"/>
  <c r="P57" i="11"/>
  <c r="P97" i="11" s="1"/>
  <c r="P137" i="11" s="1"/>
  <c r="M57" i="11"/>
  <c r="M97" i="11" s="1"/>
  <c r="M137" i="11" s="1"/>
  <c r="K57" i="11"/>
  <c r="K97" i="11" s="1"/>
  <c r="K137" i="11" s="1"/>
  <c r="H57" i="11"/>
  <c r="H97" i="11" s="1"/>
  <c r="H137" i="11" s="1"/>
  <c r="B57" i="11"/>
  <c r="B97" i="11" s="1"/>
  <c r="B137" i="11" s="1"/>
  <c r="A57" i="11"/>
  <c r="A97" i="11" s="1"/>
  <c r="A137" i="11" s="1"/>
  <c r="P56" i="11"/>
  <c r="P96" i="11" s="1"/>
  <c r="P136" i="11" s="1"/>
  <c r="M56" i="11"/>
  <c r="M96" i="11" s="1"/>
  <c r="M136" i="11" s="1"/>
  <c r="K56" i="11"/>
  <c r="K96" i="11" s="1"/>
  <c r="K136" i="11" s="1"/>
  <c r="H56" i="11"/>
  <c r="H96" i="11" s="1"/>
  <c r="H136" i="11" s="1"/>
  <c r="B56" i="11"/>
  <c r="B96" i="11" s="1"/>
  <c r="B136" i="11" s="1"/>
  <c r="A56" i="11"/>
  <c r="A96" i="11" s="1"/>
  <c r="A136" i="11" s="1"/>
  <c r="P55" i="11"/>
  <c r="P95" i="11" s="1"/>
  <c r="P135" i="11" s="1"/>
  <c r="M55" i="11"/>
  <c r="M95" i="11" s="1"/>
  <c r="M135" i="11" s="1"/>
  <c r="K55" i="11"/>
  <c r="K95" i="11" s="1"/>
  <c r="H55" i="11"/>
  <c r="H95" i="11" s="1"/>
  <c r="B55" i="11"/>
  <c r="B95" i="11" s="1"/>
  <c r="B135" i="11" s="1"/>
  <c r="A55" i="11"/>
  <c r="A95" i="11" s="1"/>
  <c r="A135" i="11" s="1"/>
  <c r="C54" i="11"/>
  <c r="C94" i="11" s="1"/>
  <c r="C134" i="11" s="1"/>
  <c r="C53" i="11"/>
  <c r="C93" i="11" s="1"/>
  <c r="C133" i="11" s="1"/>
  <c r="B53" i="11"/>
  <c r="B93" i="11" s="1"/>
  <c r="B133" i="11" s="1"/>
  <c r="L49" i="11"/>
  <c r="L89" i="11" s="1"/>
  <c r="L129" i="11" s="1"/>
  <c r="L48" i="11"/>
  <c r="L88" i="11" s="1"/>
  <c r="L128" i="11" s="1"/>
  <c r="A48" i="11"/>
  <c r="A88" i="11" s="1"/>
  <c r="A128" i="11" s="1"/>
  <c r="L46" i="11"/>
  <c r="L86" i="11" s="1"/>
  <c r="L126" i="11" s="1"/>
  <c r="C46" i="11"/>
  <c r="C86" i="11" s="1"/>
  <c r="C126" i="11" s="1"/>
  <c r="M42" i="11"/>
  <c r="M82" i="11" s="1"/>
  <c r="M122" i="11" s="1"/>
  <c r="K35" i="11"/>
  <c r="H35" i="11"/>
  <c r="L7" i="11"/>
  <c r="L47" i="11" s="1"/>
  <c r="L87" i="11" s="1"/>
  <c r="L127" i="11" s="1"/>
  <c r="M78" i="10"/>
  <c r="M118" i="10" s="1"/>
  <c r="M158" i="10" s="1"/>
  <c r="D78" i="10"/>
  <c r="D118" i="10" s="1"/>
  <c r="D158" i="10" s="1"/>
  <c r="M77" i="10"/>
  <c r="M117" i="10" s="1"/>
  <c r="M157" i="10" s="1"/>
  <c r="D77" i="10"/>
  <c r="D117" i="10" s="1"/>
  <c r="D157" i="10" s="1"/>
  <c r="P74" i="10"/>
  <c r="P114" i="10" s="1"/>
  <c r="P154" i="10" s="1"/>
  <c r="M74" i="10"/>
  <c r="M114" i="10" s="1"/>
  <c r="M154" i="10" s="1"/>
  <c r="K74" i="10"/>
  <c r="K114" i="10" s="1"/>
  <c r="K154" i="10" s="1"/>
  <c r="H74" i="10"/>
  <c r="H114" i="10" s="1"/>
  <c r="H154" i="10" s="1"/>
  <c r="B74" i="10"/>
  <c r="B114" i="10" s="1"/>
  <c r="B154" i="10" s="1"/>
  <c r="A74" i="10"/>
  <c r="A114" i="10" s="1"/>
  <c r="A154" i="10" s="1"/>
  <c r="P73" i="10"/>
  <c r="P113" i="10" s="1"/>
  <c r="P153" i="10" s="1"/>
  <c r="M73" i="10"/>
  <c r="M113" i="10" s="1"/>
  <c r="M153" i="10" s="1"/>
  <c r="K73" i="10"/>
  <c r="K113" i="10" s="1"/>
  <c r="K153" i="10" s="1"/>
  <c r="H73" i="10"/>
  <c r="H113" i="10" s="1"/>
  <c r="H153" i="10" s="1"/>
  <c r="B73" i="10"/>
  <c r="B113" i="10" s="1"/>
  <c r="B153" i="10" s="1"/>
  <c r="A73" i="10"/>
  <c r="A113" i="10" s="1"/>
  <c r="A153" i="10" s="1"/>
  <c r="P72" i="10"/>
  <c r="P112" i="10" s="1"/>
  <c r="P152" i="10" s="1"/>
  <c r="M72" i="10"/>
  <c r="M112" i="10" s="1"/>
  <c r="M152" i="10" s="1"/>
  <c r="K72" i="10"/>
  <c r="K112" i="10" s="1"/>
  <c r="K152" i="10" s="1"/>
  <c r="H72" i="10"/>
  <c r="H112" i="10" s="1"/>
  <c r="H152" i="10" s="1"/>
  <c r="B72" i="10"/>
  <c r="B112" i="10" s="1"/>
  <c r="B152" i="10" s="1"/>
  <c r="A72" i="10"/>
  <c r="A112" i="10" s="1"/>
  <c r="A152" i="10" s="1"/>
  <c r="P71" i="10"/>
  <c r="P111" i="10" s="1"/>
  <c r="P151" i="10" s="1"/>
  <c r="M71" i="10"/>
  <c r="M111" i="10" s="1"/>
  <c r="M151" i="10" s="1"/>
  <c r="K71" i="10"/>
  <c r="K111" i="10" s="1"/>
  <c r="K151" i="10" s="1"/>
  <c r="H71" i="10"/>
  <c r="H111" i="10" s="1"/>
  <c r="H151" i="10" s="1"/>
  <c r="B71" i="10"/>
  <c r="B111" i="10" s="1"/>
  <c r="B151" i="10" s="1"/>
  <c r="A71" i="10"/>
  <c r="A111" i="10" s="1"/>
  <c r="A151" i="10" s="1"/>
  <c r="P70" i="10"/>
  <c r="P110" i="10" s="1"/>
  <c r="P150" i="10" s="1"/>
  <c r="M70" i="10"/>
  <c r="M110" i="10" s="1"/>
  <c r="M150" i="10" s="1"/>
  <c r="K70" i="10"/>
  <c r="K110" i="10" s="1"/>
  <c r="K150" i="10" s="1"/>
  <c r="H70" i="10"/>
  <c r="H110" i="10" s="1"/>
  <c r="H150" i="10" s="1"/>
  <c r="B70" i="10"/>
  <c r="B110" i="10" s="1"/>
  <c r="B150" i="10" s="1"/>
  <c r="A70" i="10"/>
  <c r="A110" i="10" s="1"/>
  <c r="A150" i="10" s="1"/>
  <c r="P69" i="10"/>
  <c r="P109" i="10" s="1"/>
  <c r="P149" i="10" s="1"/>
  <c r="M69" i="10"/>
  <c r="M109" i="10" s="1"/>
  <c r="M149" i="10" s="1"/>
  <c r="K69" i="10"/>
  <c r="K109" i="10" s="1"/>
  <c r="K149" i="10" s="1"/>
  <c r="H69" i="10"/>
  <c r="H109" i="10" s="1"/>
  <c r="H149" i="10" s="1"/>
  <c r="B69" i="10"/>
  <c r="B109" i="10" s="1"/>
  <c r="B149" i="10" s="1"/>
  <c r="A69" i="10"/>
  <c r="A109" i="10" s="1"/>
  <c r="A149" i="10" s="1"/>
  <c r="P68" i="10"/>
  <c r="P108" i="10" s="1"/>
  <c r="P148" i="10" s="1"/>
  <c r="M68" i="10"/>
  <c r="M108" i="10" s="1"/>
  <c r="M148" i="10" s="1"/>
  <c r="K68" i="10"/>
  <c r="K108" i="10" s="1"/>
  <c r="K148" i="10" s="1"/>
  <c r="H68" i="10"/>
  <c r="H108" i="10" s="1"/>
  <c r="H148" i="10" s="1"/>
  <c r="B68" i="10"/>
  <c r="B108" i="10" s="1"/>
  <c r="B148" i="10" s="1"/>
  <c r="A68" i="10"/>
  <c r="A108" i="10" s="1"/>
  <c r="A148" i="10" s="1"/>
  <c r="P67" i="10"/>
  <c r="P107" i="10" s="1"/>
  <c r="P147" i="10" s="1"/>
  <c r="M67" i="10"/>
  <c r="M107" i="10" s="1"/>
  <c r="M147" i="10" s="1"/>
  <c r="K67" i="10"/>
  <c r="K107" i="10" s="1"/>
  <c r="K147" i="10" s="1"/>
  <c r="H67" i="10"/>
  <c r="H107" i="10" s="1"/>
  <c r="H147" i="10" s="1"/>
  <c r="B67" i="10"/>
  <c r="B107" i="10" s="1"/>
  <c r="B147" i="10" s="1"/>
  <c r="A67" i="10"/>
  <c r="A107" i="10" s="1"/>
  <c r="A147" i="10" s="1"/>
  <c r="P66" i="10"/>
  <c r="P106" i="10" s="1"/>
  <c r="P146" i="10" s="1"/>
  <c r="M66" i="10"/>
  <c r="M106" i="10" s="1"/>
  <c r="M146" i="10" s="1"/>
  <c r="K66" i="10"/>
  <c r="K106" i="10" s="1"/>
  <c r="K146" i="10" s="1"/>
  <c r="H66" i="10"/>
  <c r="H106" i="10" s="1"/>
  <c r="H146" i="10" s="1"/>
  <c r="B66" i="10"/>
  <c r="B106" i="10" s="1"/>
  <c r="B146" i="10" s="1"/>
  <c r="A66" i="10"/>
  <c r="A106" i="10" s="1"/>
  <c r="A146" i="10" s="1"/>
  <c r="P65" i="10"/>
  <c r="P105" i="10" s="1"/>
  <c r="P145" i="10" s="1"/>
  <c r="M65" i="10"/>
  <c r="M105" i="10" s="1"/>
  <c r="M145" i="10" s="1"/>
  <c r="K65" i="10"/>
  <c r="K105" i="10" s="1"/>
  <c r="K145" i="10" s="1"/>
  <c r="H65" i="10"/>
  <c r="H105" i="10" s="1"/>
  <c r="H145" i="10" s="1"/>
  <c r="B65" i="10"/>
  <c r="B105" i="10" s="1"/>
  <c r="B145" i="10" s="1"/>
  <c r="A65" i="10"/>
  <c r="A105" i="10" s="1"/>
  <c r="A145" i="10" s="1"/>
  <c r="P64" i="10"/>
  <c r="P104" i="10" s="1"/>
  <c r="P144" i="10" s="1"/>
  <c r="M64" i="10"/>
  <c r="M104" i="10" s="1"/>
  <c r="M144" i="10" s="1"/>
  <c r="K64" i="10"/>
  <c r="K104" i="10" s="1"/>
  <c r="K144" i="10" s="1"/>
  <c r="H64" i="10"/>
  <c r="H104" i="10" s="1"/>
  <c r="H144" i="10" s="1"/>
  <c r="B64" i="10"/>
  <c r="B104" i="10" s="1"/>
  <c r="B144" i="10" s="1"/>
  <c r="A64" i="10"/>
  <c r="A104" i="10" s="1"/>
  <c r="A144" i="10" s="1"/>
  <c r="P63" i="10"/>
  <c r="P103" i="10" s="1"/>
  <c r="P143" i="10" s="1"/>
  <c r="M63" i="10"/>
  <c r="M103" i="10" s="1"/>
  <c r="M143" i="10" s="1"/>
  <c r="K63" i="10"/>
  <c r="K103" i="10" s="1"/>
  <c r="K143" i="10" s="1"/>
  <c r="H63" i="10"/>
  <c r="H103" i="10" s="1"/>
  <c r="H143" i="10" s="1"/>
  <c r="B63" i="10"/>
  <c r="B103" i="10" s="1"/>
  <c r="B143" i="10" s="1"/>
  <c r="A63" i="10"/>
  <c r="A103" i="10" s="1"/>
  <c r="A143" i="10" s="1"/>
  <c r="P62" i="10"/>
  <c r="P102" i="10" s="1"/>
  <c r="P142" i="10" s="1"/>
  <c r="M62" i="10"/>
  <c r="M102" i="10" s="1"/>
  <c r="M142" i="10" s="1"/>
  <c r="K62" i="10"/>
  <c r="K102" i="10" s="1"/>
  <c r="K142" i="10" s="1"/>
  <c r="H62" i="10"/>
  <c r="H102" i="10" s="1"/>
  <c r="H142" i="10" s="1"/>
  <c r="B62" i="10"/>
  <c r="B102" i="10" s="1"/>
  <c r="B142" i="10" s="1"/>
  <c r="A62" i="10"/>
  <c r="A102" i="10" s="1"/>
  <c r="A142" i="10" s="1"/>
  <c r="P61" i="10"/>
  <c r="P101" i="10" s="1"/>
  <c r="P141" i="10" s="1"/>
  <c r="M61" i="10"/>
  <c r="M101" i="10" s="1"/>
  <c r="M141" i="10" s="1"/>
  <c r="K61" i="10"/>
  <c r="K101" i="10" s="1"/>
  <c r="K141" i="10" s="1"/>
  <c r="H61" i="10"/>
  <c r="H101" i="10" s="1"/>
  <c r="H141" i="10" s="1"/>
  <c r="B61" i="10"/>
  <c r="B101" i="10" s="1"/>
  <c r="B141" i="10" s="1"/>
  <c r="A61" i="10"/>
  <c r="A101" i="10" s="1"/>
  <c r="A141" i="10" s="1"/>
  <c r="P60" i="10"/>
  <c r="P100" i="10" s="1"/>
  <c r="P140" i="10" s="1"/>
  <c r="M60" i="10"/>
  <c r="M100" i="10" s="1"/>
  <c r="M140" i="10" s="1"/>
  <c r="K60" i="10"/>
  <c r="K100" i="10" s="1"/>
  <c r="K140" i="10" s="1"/>
  <c r="H60" i="10"/>
  <c r="H100" i="10" s="1"/>
  <c r="H140" i="10" s="1"/>
  <c r="B60" i="10"/>
  <c r="B100" i="10" s="1"/>
  <c r="B140" i="10" s="1"/>
  <c r="A60" i="10"/>
  <c r="A100" i="10" s="1"/>
  <c r="A140" i="10" s="1"/>
  <c r="P59" i="10"/>
  <c r="P99" i="10" s="1"/>
  <c r="P139" i="10" s="1"/>
  <c r="M59" i="10"/>
  <c r="M99" i="10" s="1"/>
  <c r="M139" i="10" s="1"/>
  <c r="K59" i="10"/>
  <c r="K99" i="10" s="1"/>
  <c r="K139" i="10" s="1"/>
  <c r="H59" i="10"/>
  <c r="H99" i="10" s="1"/>
  <c r="H139" i="10" s="1"/>
  <c r="B59" i="10"/>
  <c r="B99" i="10" s="1"/>
  <c r="B139" i="10" s="1"/>
  <c r="A59" i="10"/>
  <c r="A99" i="10" s="1"/>
  <c r="A139" i="10" s="1"/>
  <c r="P58" i="10"/>
  <c r="P98" i="10" s="1"/>
  <c r="P138" i="10" s="1"/>
  <c r="M58" i="10"/>
  <c r="M98" i="10" s="1"/>
  <c r="M138" i="10" s="1"/>
  <c r="K58" i="10"/>
  <c r="K98" i="10" s="1"/>
  <c r="K138" i="10" s="1"/>
  <c r="H58" i="10"/>
  <c r="H98" i="10" s="1"/>
  <c r="H138" i="10" s="1"/>
  <c r="B58" i="10"/>
  <c r="B98" i="10" s="1"/>
  <c r="B138" i="10" s="1"/>
  <c r="A58" i="10"/>
  <c r="A98" i="10" s="1"/>
  <c r="A138" i="10" s="1"/>
  <c r="P57" i="10"/>
  <c r="P97" i="10" s="1"/>
  <c r="P137" i="10" s="1"/>
  <c r="M57" i="10"/>
  <c r="M97" i="10" s="1"/>
  <c r="M137" i="10" s="1"/>
  <c r="K57" i="10"/>
  <c r="K97" i="10" s="1"/>
  <c r="K137" i="10" s="1"/>
  <c r="H57" i="10"/>
  <c r="H97" i="10" s="1"/>
  <c r="H137" i="10" s="1"/>
  <c r="B57" i="10"/>
  <c r="B97" i="10" s="1"/>
  <c r="B137" i="10" s="1"/>
  <c r="A57" i="10"/>
  <c r="A97" i="10" s="1"/>
  <c r="A137" i="10" s="1"/>
  <c r="P56" i="10"/>
  <c r="P96" i="10" s="1"/>
  <c r="P136" i="10" s="1"/>
  <c r="M56" i="10"/>
  <c r="M96" i="10" s="1"/>
  <c r="M136" i="10" s="1"/>
  <c r="K56" i="10"/>
  <c r="K96" i="10" s="1"/>
  <c r="K136" i="10" s="1"/>
  <c r="H56" i="10"/>
  <c r="H96" i="10" s="1"/>
  <c r="H136" i="10" s="1"/>
  <c r="B56" i="10"/>
  <c r="B96" i="10" s="1"/>
  <c r="B136" i="10" s="1"/>
  <c r="A56" i="10"/>
  <c r="A96" i="10" s="1"/>
  <c r="A136" i="10" s="1"/>
  <c r="P55" i="10"/>
  <c r="P95" i="10" s="1"/>
  <c r="P135" i="10" s="1"/>
  <c r="M55" i="10"/>
  <c r="M95" i="10" s="1"/>
  <c r="M135" i="10" s="1"/>
  <c r="K55" i="10"/>
  <c r="K95" i="10" s="1"/>
  <c r="H55" i="10"/>
  <c r="H95" i="10" s="1"/>
  <c r="B55" i="10"/>
  <c r="B95" i="10" s="1"/>
  <c r="B135" i="10" s="1"/>
  <c r="A55" i="10"/>
  <c r="A95" i="10" s="1"/>
  <c r="A135" i="10" s="1"/>
  <c r="C54" i="10"/>
  <c r="C94" i="10" s="1"/>
  <c r="C134" i="10" s="1"/>
  <c r="C53" i="10"/>
  <c r="C93" i="10" s="1"/>
  <c r="C133" i="10" s="1"/>
  <c r="B53" i="10"/>
  <c r="B93" i="10" s="1"/>
  <c r="B133" i="10" s="1"/>
  <c r="L49" i="10"/>
  <c r="L89" i="10" s="1"/>
  <c r="L129" i="10" s="1"/>
  <c r="L48" i="10"/>
  <c r="L88" i="10" s="1"/>
  <c r="L128" i="10" s="1"/>
  <c r="A48" i="10"/>
  <c r="A88" i="10" s="1"/>
  <c r="A128" i="10" s="1"/>
  <c r="L46" i="10"/>
  <c r="L86" i="10" s="1"/>
  <c r="L126" i="10" s="1"/>
  <c r="C46" i="10"/>
  <c r="C86" i="10" s="1"/>
  <c r="C126" i="10" s="1"/>
  <c r="M42" i="10"/>
  <c r="M82" i="10" s="1"/>
  <c r="M122" i="10" s="1"/>
  <c r="K35" i="10"/>
  <c r="H35" i="10"/>
  <c r="L7" i="10"/>
  <c r="L47" i="10" s="1"/>
  <c r="L87" i="10" s="1"/>
  <c r="L127" i="10" s="1"/>
  <c r="M78" i="9"/>
  <c r="M118" i="9" s="1"/>
  <c r="M158" i="9" s="1"/>
  <c r="D78" i="9"/>
  <c r="D118" i="9" s="1"/>
  <c r="D158" i="9" s="1"/>
  <c r="M77" i="9"/>
  <c r="M117" i="9" s="1"/>
  <c r="M157" i="9" s="1"/>
  <c r="D77" i="9"/>
  <c r="D117" i="9" s="1"/>
  <c r="D157" i="9" s="1"/>
  <c r="P74" i="9"/>
  <c r="P114" i="9" s="1"/>
  <c r="P154" i="9" s="1"/>
  <c r="M74" i="9"/>
  <c r="M114" i="9" s="1"/>
  <c r="M154" i="9" s="1"/>
  <c r="K74" i="9"/>
  <c r="K114" i="9" s="1"/>
  <c r="K154" i="9" s="1"/>
  <c r="H74" i="9"/>
  <c r="H114" i="9" s="1"/>
  <c r="H154" i="9" s="1"/>
  <c r="B74" i="9"/>
  <c r="B114" i="9" s="1"/>
  <c r="B154" i="9" s="1"/>
  <c r="A74" i="9"/>
  <c r="A114" i="9" s="1"/>
  <c r="A154" i="9" s="1"/>
  <c r="P73" i="9"/>
  <c r="P113" i="9" s="1"/>
  <c r="P153" i="9" s="1"/>
  <c r="M73" i="9"/>
  <c r="M113" i="9" s="1"/>
  <c r="M153" i="9" s="1"/>
  <c r="K73" i="9"/>
  <c r="K113" i="9" s="1"/>
  <c r="K153" i="9" s="1"/>
  <c r="H73" i="9"/>
  <c r="H113" i="9" s="1"/>
  <c r="H153" i="9" s="1"/>
  <c r="B73" i="9"/>
  <c r="B113" i="9" s="1"/>
  <c r="B153" i="9" s="1"/>
  <c r="A73" i="9"/>
  <c r="A113" i="9" s="1"/>
  <c r="A153" i="9" s="1"/>
  <c r="P72" i="9"/>
  <c r="P112" i="9" s="1"/>
  <c r="P152" i="9" s="1"/>
  <c r="M72" i="9"/>
  <c r="M112" i="9" s="1"/>
  <c r="M152" i="9" s="1"/>
  <c r="K72" i="9"/>
  <c r="K112" i="9" s="1"/>
  <c r="K152" i="9" s="1"/>
  <c r="H72" i="9"/>
  <c r="H112" i="9" s="1"/>
  <c r="H152" i="9" s="1"/>
  <c r="B72" i="9"/>
  <c r="B112" i="9" s="1"/>
  <c r="B152" i="9" s="1"/>
  <c r="A72" i="9"/>
  <c r="A112" i="9" s="1"/>
  <c r="A152" i="9" s="1"/>
  <c r="P71" i="9"/>
  <c r="P111" i="9" s="1"/>
  <c r="P151" i="9" s="1"/>
  <c r="M71" i="9"/>
  <c r="M111" i="9" s="1"/>
  <c r="M151" i="9" s="1"/>
  <c r="K71" i="9"/>
  <c r="K111" i="9" s="1"/>
  <c r="K151" i="9" s="1"/>
  <c r="H71" i="9"/>
  <c r="H111" i="9" s="1"/>
  <c r="H151" i="9" s="1"/>
  <c r="B71" i="9"/>
  <c r="B111" i="9" s="1"/>
  <c r="B151" i="9" s="1"/>
  <c r="A71" i="9"/>
  <c r="A111" i="9" s="1"/>
  <c r="A151" i="9" s="1"/>
  <c r="P70" i="9"/>
  <c r="P110" i="9" s="1"/>
  <c r="P150" i="9" s="1"/>
  <c r="M70" i="9"/>
  <c r="M110" i="9" s="1"/>
  <c r="M150" i="9" s="1"/>
  <c r="K70" i="9"/>
  <c r="K110" i="9" s="1"/>
  <c r="K150" i="9" s="1"/>
  <c r="H70" i="9"/>
  <c r="H110" i="9" s="1"/>
  <c r="H150" i="9" s="1"/>
  <c r="B70" i="9"/>
  <c r="B110" i="9" s="1"/>
  <c r="B150" i="9" s="1"/>
  <c r="A70" i="9"/>
  <c r="A110" i="9" s="1"/>
  <c r="A150" i="9" s="1"/>
  <c r="P69" i="9"/>
  <c r="P109" i="9" s="1"/>
  <c r="P149" i="9" s="1"/>
  <c r="M69" i="9"/>
  <c r="M109" i="9" s="1"/>
  <c r="M149" i="9" s="1"/>
  <c r="K69" i="9"/>
  <c r="K109" i="9" s="1"/>
  <c r="K149" i="9" s="1"/>
  <c r="H69" i="9"/>
  <c r="H109" i="9" s="1"/>
  <c r="H149" i="9" s="1"/>
  <c r="B69" i="9"/>
  <c r="B109" i="9" s="1"/>
  <c r="B149" i="9" s="1"/>
  <c r="A69" i="9"/>
  <c r="A109" i="9" s="1"/>
  <c r="A149" i="9" s="1"/>
  <c r="P68" i="9"/>
  <c r="P108" i="9" s="1"/>
  <c r="P148" i="9" s="1"/>
  <c r="M68" i="9"/>
  <c r="M108" i="9" s="1"/>
  <c r="M148" i="9" s="1"/>
  <c r="K68" i="9"/>
  <c r="K108" i="9" s="1"/>
  <c r="K148" i="9" s="1"/>
  <c r="H68" i="9"/>
  <c r="H108" i="9" s="1"/>
  <c r="H148" i="9" s="1"/>
  <c r="B68" i="9"/>
  <c r="B108" i="9" s="1"/>
  <c r="B148" i="9" s="1"/>
  <c r="A68" i="9"/>
  <c r="A108" i="9" s="1"/>
  <c r="A148" i="9" s="1"/>
  <c r="P67" i="9"/>
  <c r="P107" i="9" s="1"/>
  <c r="P147" i="9" s="1"/>
  <c r="M67" i="9"/>
  <c r="M107" i="9" s="1"/>
  <c r="M147" i="9" s="1"/>
  <c r="K67" i="9"/>
  <c r="K107" i="9" s="1"/>
  <c r="K147" i="9" s="1"/>
  <c r="H67" i="9"/>
  <c r="H107" i="9" s="1"/>
  <c r="H147" i="9" s="1"/>
  <c r="B67" i="9"/>
  <c r="B107" i="9" s="1"/>
  <c r="B147" i="9" s="1"/>
  <c r="A67" i="9"/>
  <c r="A107" i="9" s="1"/>
  <c r="A147" i="9" s="1"/>
  <c r="P66" i="9"/>
  <c r="P106" i="9" s="1"/>
  <c r="P146" i="9" s="1"/>
  <c r="M66" i="9"/>
  <c r="M106" i="9" s="1"/>
  <c r="M146" i="9" s="1"/>
  <c r="K66" i="9"/>
  <c r="K106" i="9" s="1"/>
  <c r="K146" i="9" s="1"/>
  <c r="H66" i="9"/>
  <c r="H106" i="9" s="1"/>
  <c r="H146" i="9" s="1"/>
  <c r="B66" i="9"/>
  <c r="B106" i="9" s="1"/>
  <c r="B146" i="9" s="1"/>
  <c r="A66" i="9"/>
  <c r="A106" i="9" s="1"/>
  <c r="A146" i="9" s="1"/>
  <c r="P65" i="9"/>
  <c r="P105" i="9" s="1"/>
  <c r="P145" i="9" s="1"/>
  <c r="M65" i="9"/>
  <c r="M105" i="9" s="1"/>
  <c r="M145" i="9" s="1"/>
  <c r="K65" i="9"/>
  <c r="K105" i="9" s="1"/>
  <c r="K145" i="9" s="1"/>
  <c r="H65" i="9"/>
  <c r="H105" i="9" s="1"/>
  <c r="H145" i="9" s="1"/>
  <c r="B65" i="9"/>
  <c r="B105" i="9" s="1"/>
  <c r="B145" i="9" s="1"/>
  <c r="A65" i="9"/>
  <c r="A105" i="9" s="1"/>
  <c r="A145" i="9" s="1"/>
  <c r="P64" i="9"/>
  <c r="P104" i="9" s="1"/>
  <c r="P144" i="9" s="1"/>
  <c r="M64" i="9"/>
  <c r="M104" i="9" s="1"/>
  <c r="M144" i="9" s="1"/>
  <c r="K64" i="9"/>
  <c r="K104" i="9" s="1"/>
  <c r="K144" i="9" s="1"/>
  <c r="H64" i="9"/>
  <c r="H104" i="9" s="1"/>
  <c r="H144" i="9" s="1"/>
  <c r="B64" i="9"/>
  <c r="B104" i="9" s="1"/>
  <c r="B144" i="9" s="1"/>
  <c r="A64" i="9"/>
  <c r="A104" i="9" s="1"/>
  <c r="A144" i="9" s="1"/>
  <c r="P63" i="9"/>
  <c r="P103" i="9" s="1"/>
  <c r="P143" i="9" s="1"/>
  <c r="M63" i="9"/>
  <c r="M103" i="9" s="1"/>
  <c r="M143" i="9" s="1"/>
  <c r="K63" i="9"/>
  <c r="K103" i="9" s="1"/>
  <c r="K143" i="9" s="1"/>
  <c r="H63" i="9"/>
  <c r="H103" i="9" s="1"/>
  <c r="H143" i="9" s="1"/>
  <c r="B63" i="9"/>
  <c r="B103" i="9" s="1"/>
  <c r="B143" i="9" s="1"/>
  <c r="A63" i="9"/>
  <c r="A103" i="9" s="1"/>
  <c r="A143" i="9" s="1"/>
  <c r="P62" i="9"/>
  <c r="P102" i="9" s="1"/>
  <c r="P142" i="9" s="1"/>
  <c r="M62" i="9"/>
  <c r="M102" i="9" s="1"/>
  <c r="M142" i="9" s="1"/>
  <c r="K62" i="9"/>
  <c r="K102" i="9" s="1"/>
  <c r="K142" i="9" s="1"/>
  <c r="H62" i="9"/>
  <c r="H102" i="9" s="1"/>
  <c r="H142" i="9" s="1"/>
  <c r="B62" i="9"/>
  <c r="B102" i="9" s="1"/>
  <c r="B142" i="9" s="1"/>
  <c r="A62" i="9"/>
  <c r="A102" i="9" s="1"/>
  <c r="A142" i="9" s="1"/>
  <c r="P61" i="9"/>
  <c r="P101" i="9" s="1"/>
  <c r="P141" i="9" s="1"/>
  <c r="M61" i="9"/>
  <c r="M101" i="9" s="1"/>
  <c r="M141" i="9" s="1"/>
  <c r="K61" i="9"/>
  <c r="K101" i="9" s="1"/>
  <c r="K141" i="9" s="1"/>
  <c r="H61" i="9"/>
  <c r="H101" i="9" s="1"/>
  <c r="H141" i="9" s="1"/>
  <c r="B61" i="9"/>
  <c r="B101" i="9" s="1"/>
  <c r="B141" i="9" s="1"/>
  <c r="A61" i="9"/>
  <c r="A101" i="9" s="1"/>
  <c r="A141" i="9" s="1"/>
  <c r="P60" i="9"/>
  <c r="P100" i="9" s="1"/>
  <c r="P140" i="9" s="1"/>
  <c r="M60" i="9"/>
  <c r="M100" i="9" s="1"/>
  <c r="M140" i="9" s="1"/>
  <c r="K60" i="9"/>
  <c r="K100" i="9" s="1"/>
  <c r="K140" i="9" s="1"/>
  <c r="H60" i="9"/>
  <c r="H100" i="9" s="1"/>
  <c r="H140" i="9" s="1"/>
  <c r="B60" i="9"/>
  <c r="B100" i="9" s="1"/>
  <c r="B140" i="9" s="1"/>
  <c r="A60" i="9"/>
  <c r="A100" i="9" s="1"/>
  <c r="A140" i="9" s="1"/>
  <c r="P59" i="9"/>
  <c r="P99" i="9" s="1"/>
  <c r="P139" i="9" s="1"/>
  <c r="M59" i="9"/>
  <c r="M99" i="9" s="1"/>
  <c r="M139" i="9" s="1"/>
  <c r="K59" i="9"/>
  <c r="K99" i="9" s="1"/>
  <c r="K139" i="9" s="1"/>
  <c r="H59" i="9"/>
  <c r="H99" i="9" s="1"/>
  <c r="H139" i="9" s="1"/>
  <c r="B59" i="9"/>
  <c r="B99" i="9" s="1"/>
  <c r="B139" i="9" s="1"/>
  <c r="A59" i="9"/>
  <c r="A99" i="9" s="1"/>
  <c r="A139" i="9" s="1"/>
  <c r="P58" i="9"/>
  <c r="P98" i="9" s="1"/>
  <c r="P138" i="9" s="1"/>
  <c r="M58" i="9"/>
  <c r="M98" i="9" s="1"/>
  <c r="M138" i="9" s="1"/>
  <c r="K58" i="9"/>
  <c r="K98" i="9" s="1"/>
  <c r="K138" i="9" s="1"/>
  <c r="H58" i="9"/>
  <c r="H98" i="9" s="1"/>
  <c r="H138" i="9" s="1"/>
  <c r="B58" i="9"/>
  <c r="B98" i="9" s="1"/>
  <c r="B138" i="9" s="1"/>
  <c r="A58" i="9"/>
  <c r="A98" i="9" s="1"/>
  <c r="A138" i="9" s="1"/>
  <c r="P57" i="9"/>
  <c r="P97" i="9" s="1"/>
  <c r="P137" i="9" s="1"/>
  <c r="M57" i="9"/>
  <c r="M97" i="9" s="1"/>
  <c r="M137" i="9" s="1"/>
  <c r="K57" i="9"/>
  <c r="K97" i="9" s="1"/>
  <c r="K137" i="9" s="1"/>
  <c r="H57" i="9"/>
  <c r="H97" i="9" s="1"/>
  <c r="H137" i="9" s="1"/>
  <c r="B57" i="9"/>
  <c r="B97" i="9" s="1"/>
  <c r="B137" i="9" s="1"/>
  <c r="A57" i="9"/>
  <c r="A97" i="9" s="1"/>
  <c r="A137" i="9" s="1"/>
  <c r="P56" i="9"/>
  <c r="P96" i="9" s="1"/>
  <c r="P136" i="9" s="1"/>
  <c r="M56" i="9"/>
  <c r="M96" i="9" s="1"/>
  <c r="M136" i="9" s="1"/>
  <c r="K56" i="9"/>
  <c r="K96" i="9" s="1"/>
  <c r="K136" i="9" s="1"/>
  <c r="H56" i="9"/>
  <c r="H96" i="9" s="1"/>
  <c r="H136" i="9" s="1"/>
  <c r="B56" i="9"/>
  <c r="B96" i="9" s="1"/>
  <c r="B136" i="9" s="1"/>
  <c r="A56" i="9"/>
  <c r="A96" i="9" s="1"/>
  <c r="A136" i="9" s="1"/>
  <c r="P55" i="9"/>
  <c r="P95" i="9" s="1"/>
  <c r="P135" i="9" s="1"/>
  <c r="M55" i="9"/>
  <c r="M95" i="9" s="1"/>
  <c r="M135" i="9" s="1"/>
  <c r="K55" i="9"/>
  <c r="K95" i="9" s="1"/>
  <c r="H55" i="9"/>
  <c r="H95" i="9" s="1"/>
  <c r="B55" i="9"/>
  <c r="B95" i="9" s="1"/>
  <c r="B135" i="9" s="1"/>
  <c r="A55" i="9"/>
  <c r="A95" i="9" s="1"/>
  <c r="A135" i="9" s="1"/>
  <c r="C54" i="9"/>
  <c r="C94" i="9" s="1"/>
  <c r="C134" i="9" s="1"/>
  <c r="C53" i="9"/>
  <c r="C93" i="9" s="1"/>
  <c r="C133" i="9" s="1"/>
  <c r="B53" i="9"/>
  <c r="B93" i="9" s="1"/>
  <c r="B133" i="9" s="1"/>
  <c r="L49" i="9"/>
  <c r="L89" i="9" s="1"/>
  <c r="L129" i="9" s="1"/>
  <c r="L48" i="9"/>
  <c r="L88" i="9" s="1"/>
  <c r="L128" i="9" s="1"/>
  <c r="A48" i="9"/>
  <c r="A88" i="9" s="1"/>
  <c r="A128" i="9" s="1"/>
  <c r="L46" i="9"/>
  <c r="L86" i="9" s="1"/>
  <c r="L126" i="9" s="1"/>
  <c r="C46" i="9"/>
  <c r="C86" i="9" s="1"/>
  <c r="C126" i="9" s="1"/>
  <c r="M42" i="9"/>
  <c r="M82" i="9" s="1"/>
  <c r="M122" i="9" s="1"/>
  <c r="K35" i="9"/>
  <c r="H35" i="9"/>
  <c r="L47" i="9"/>
  <c r="L87" i="9" s="1"/>
  <c r="L127" i="9" s="1"/>
  <c r="M78" i="8"/>
  <c r="M118" i="8" s="1"/>
  <c r="M158" i="8" s="1"/>
  <c r="D78" i="8"/>
  <c r="D118" i="8" s="1"/>
  <c r="D158" i="8" s="1"/>
  <c r="M77" i="8"/>
  <c r="M117" i="8" s="1"/>
  <c r="M157" i="8" s="1"/>
  <c r="D77" i="8"/>
  <c r="D117" i="8" s="1"/>
  <c r="D157" i="8" s="1"/>
  <c r="P74" i="8"/>
  <c r="P114" i="8" s="1"/>
  <c r="P154" i="8" s="1"/>
  <c r="M74" i="8"/>
  <c r="M114" i="8" s="1"/>
  <c r="M154" i="8" s="1"/>
  <c r="K74" i="8"/>
  <c r="K114" i="8" s="1"/>
  <c r="K154" i="8" s="1"/>
  <c r="H74" i="8"/>
  <c r="H114" i="8" s="1"/>
  <c r="H154" i="8" s="1"/>
  <c r="B74" i="8"/>
  <c r="B114" i="8" s="1"/>
  <c r="B154" i="8" s="1"/>
  <c r="A74" i="8"/>
  <c r="A114" i="8" s="1"/>
  <c r="A154" i="8" s="1"/>
  <c r="P73" i="8"/>
  <c r="P113" i="8" s="1"/>
  <c r="P153" i="8" s="1"/>
  <c r="M73" i="8"/>
  <c r="M113" i="8" s="1"/>
  <c r="M153" i="8" s="1"/>
  <c r="K73" i="8"/>
  <c r="K113" i="8" s="1"/>
  <c r="K153" i="8" s="1"/>
  <c r="H73" i="8"/>
  <c r="H113" i="8" s="1"/>
  <c r="H153" i="8" s="1"/>
  <c r="B73" i="8"/>
  <c r="B113" i="8" s="1"/>
  <c r="B153" i="8" s="1"/>
  <c r="A73" i="8"/>
  <c r="A113" i="8" s="1"/>
  <c r="A153" i="8" s="1"/>
  <c r="P72" i="8"/>
  <c r="P112" i="8" s="1"/>
  <c r="P152" i="8" s="1"/>
  <c r="M72" i="8"/>
  <c r="M112" i="8" s="1"/>
  <c r="M152" i="8" s="1"/>
  <c r="K72" i="8"/>
  <c r="K112" i="8" s="1"/>
  <c r="K152" i="8" s="1"/>
  <c r="H72" i="8"/>
  <c r="H112" i="8" s="1"/>
  <c r="H152" i="8" s="1"/>
  <c r="B72" i="8"/>
  <c r="B112" i="8" s="1"/>
  <c r="B152" i="8" s="1"/>
  <c r="A72" i="8"/>
  <c r="A112" i="8" s="1"/>
  <c r="A152" i="8" s="1"/>
  <c r="P71" i="8"/>
  <c r="P111" i="8" s="1"/>
  <c r="P151" i="8" s="1"/>
  <c r="M71" i="8"/>
  <c r="M111" i="8" s="1"/>
  <c r="M151" i="8" s="1"/>
  <c r="K71" i="8"/>
  <c r="K111" i="8" s="1"/>
  <c r="K151" i="8" s="1"/>
  <c r="H71" i="8"/>
  <c r="H111" i="8" s="1"/>
  <c r="H151" i="8" s="1"/>
  <c r="B71" i="8"/>
  <c r="B111" i="8" s="1"/>
  <c r="B151" i="8" s="1"/>
  <c r="A71" i="8"/>
  <c r="A111" i="8" s="1"/>
  <c r="A151" i="8" s="1"/>
  <c r="P70" i="8"/>
  <c r="P110" i="8" s="1"/>
  <c r="P150" i="8" s="1"/>
  <c r="M70" i="8"/>
  <c r="M110" i="8" s="1"/>
  <c r="M150" i="8" s="1"/>
  <c r="K70" i="8"/>
  <c r="K110" i="8" s="1"/>
  <c r="K150" i="8" s="1"/>
  <c r="H70" i="8"/>
  <c r="H110" i="8" s="1"/>
  <c r="H150" i="8" s="1"/>
  <c r="B70" i="8"/>
  <c r="B110" i="8" s="1"/>
  <c r="B150" i="8" s="1"/>
  <c r="A70" i="8"/>
  <c r="A110" i="8" s="1"/>
  <c r="A150" i="8" s="1"/>
  <c r="P69" i="8"/>
  <c r="P109" i="8" s="1"/>
  <c r="P149" i="8" s="1"/>
  <c r="M69" i="8"/>
  <c r="M109" i="8" s="1"/>
  <c r="M149" i="8" s="1"/>
  <c r="K69" i="8"/>
  <c r="K109" i="8" s="1"/>
  <c r="K149" i="8" s="1"/>
  <c r="H69" i="8"/>
  <c r="H109" i="8" s="1"/>
  <c r="H149" i="8" s="1"/>
  <c r="B69" i="8"/>
  <c r="B109" i="8" s="1"/>
  <c r="B149" i="8" s="1"/>
  <c r="A69" i="8"/>
  <c r="A109" i="8" s="1"/>
  <c r="A149" i="8" s="1"/>
  <c r="P68" i="8"/>
  <c r="P108" i="8" s="1"/>
  <c r="P148" i="8" s="1"/>
  <c r="M68" i="8"/>
  <c r="M108" i="8" s="1"/>
  <c r="M148" i="8" s="1"/>
  <c r="K68" i="8"/>
  <c r="K108" i="8" s="1"/>
  <c r="K148" i="8" s="1"/>
  <c r="H68" i="8"/>
  <c r="H108" i="8" s="1"/>
  <c r="H148" i="8" s="1"/>
  <c r="B68" i="8"/>
  <c r="B108" i="8" s="1"/>
  <c r="B148" i="8" s="1"/>
  <c r="A68" i="8"/>
  <c r="A108" i="8" s="1"/>
  <c r="A148" i="8" s="1"/>
  <c r="P67" i="8"/>
  <c r="P107" i="8" s="1"/>
  <c r="P147" i="8" s="1"/>
  <c r="M67" i="8"/>
  <c r="M107" i="8" s="1"/>
  <c r="M147" i="8" s="1"/>
  <c r="K67" i="8"/>
  <c r="K107" i="8" s="1"/>
  <c r="K147" i="8" s="1"/>
  <c r="H67" i="8"/>
  <c r="H107" i="8" s="1"/>
  <c r="H147" i="8" s="1"/>
  <c r="B67" i="8"/>
  <c r="B107" i="8" s="1"/>
  <c r="B147" i="8" s="1"/>
  <c r="A67" i="8"/>
  <c r="A107" i="8" s="1"/>
  <c r="A147" i="8" s="1"/>
  <c r="P66" i="8"/>
  <c r="P106" i="8" s="1"/>
  <c r="P146" i="8" s="1"/>
  <c r="M66" i="8"/>
  <c r="M106" i="8" s="1"/>
  <c r="M146" i="8" s="1"/>
  <c r="K66" i="8"/>
  <c r="K106" i="8" s="1"/>
  <c r="K146" i="8" s="1"/>
  <c r="H66" i="8"/>
  <c r="H106" i="8" s="1"/>
  <c r="H146" i="8" s="1"/>
  <c r="B66" i="8"/>
  <c r="B106" i="8" s="1"/>
  <c r="B146" i="8" s="1"/>
  <c r="A66" i="8"/>
  <c r="A106" i="8" s="1"/>
  <c r="A146" i="8" s="1"/>
  <c r="P65" i="8"/>
  <c r="P105" i="8" s="1"/>
  <c r="P145" i="8" s="1"/>
  <c r="M65" i="8"/>
  <c r="M105" i="8" s="1"/>
  <c r="M145" i="8" s="1"/>
  <c r="K65" i="8"/>
  <c r="K105" i="8" s="1"/>
  <c r="K145" i="8" s="1"/>
  <c r="H65" i="8"/>
  <c r="H105" i="8" s="1"/>
  <c r="H145" i="8" s="1"/>
  <c r="B65" i="8"/>
  <c r="B105" i="8" s="1"/>
  <c r="B145" i="8" s="1"/>
  <c r="A65" i="8"/>
  <c r="A105" i="8" s="1"/>
  <c r="A145" i="8" s="1"/>
  <c r="P64" i="8"/>
  <c r="P104" i="8" s="1"/>
  <c r="P144" i="8" s="1"/>
  <c r="M64" i="8"/>
  <c r="M104" i="8" s="1"/>
  <c r="M144" i="8" s="1"/>
  <c r="K64" i="8"/>
  <c r="K104" i="8" s="1"/>
  <c r="K144" i="8" s="1"/>
  <c r="H64" i="8"/>
  <c r="H104" i="8" s="1"/>
  <c r="H144" i="8" s="1"/>
  <c r="B64" i="8"/>
  <c r="B104" i="8" s="1"/>
  <c r="B144" i="8" s="1"/>
  <c r="A64" i="8"/>
  <c r="A104" i="8" s="1"/>
  <c r="A144" i="8" s="1"/>
  <c r="P63" i="8"/>
  <c r="P103" i="8" s="1"/>
  <c r="P143" i="8" s="1"/>
  <c r="M63" i="8"/>
  <c r="M103" i="8" s="1"/>
  <c r="M143" i="8" s="1"/>
  <c r="K63" i="8"/>
  <c r="K103" i="8" s="1"/>
  <c r="K143" i="8" s="1"/>
  <c r="H63" i="8"/>
  <c r="H103" i="8" s="1"/>
  <c r="H143" i="8" s="1"/>
  <c r="B63" i="8"/>
  <c r="B103" i="8" s="1"/>
  <c r="B143" i="8" s="1"/>
  <c r="A63" i="8"/>
  <c r="A103" i="8" s="1"/>
  <c r="A143" i="8" s="1"/>
  <c r="P62" i="8"/>
  <c r="P102" i="8" s="1"/>
  <c r="P142" i="8" s="1"/>
  <c r="M62" i="8"/>
  <c r="M102" i="8" s="1"/>
  <c r="M142" i="8" s="1"/>
  <c r="K62" i="8"/>
  <c r="K102" i="8" s="1"/>
  <c r="K142" i="8" s="1"/>
  <c r="H62" i="8"/>
  <c r="H102" i="8" s="1"/>
  <c r="H142" i="8" s="1"/>
  <c r="B62" i="8"/>
  <c r="B102" i="8" s="1"/>
  <c r="B142" i="8" s="1"/>
  <c r="A62" i="8"/>
  <c r="A102" i="8" s="1"/>
  <c r="A142" i="8" s="1"/>
  <c r="P61" i="8"/>
  <c r="P101" i="8" s="1"/>
  <c r="P141" i="8" s="1"/>
  <c r="M61" i="8"/>
  <c r="M101" i="8" s="1"/>
  <c r="M141" i="8" s="1"/>
  <c r="K61" i="8"/>
  <c r="K101" i="8" s="1"/>
  <c r="K141" i="8" s="1"/>
  <c r="H61" i="8"/>
  <c r="H101" i="8" s="1"/>
  <c r="H141" i="8" s="1"/>
  <c r="B61" i="8"/>
  <c r="B101" i="8" s="1"/>
  <c r="B141" i="8" s="1"/>
  <c r="A61" i="8"/>
  <c r="A101" i="8" s="1"/>
  <c r="A141" i="8" s="1"/>
  <c r="P60" i="8"/>
  <c r="P100" i="8" s="1"/>
  <c r="P140" i="8" s="1"/>
  <c r="M60" i="8"/>
  <c r="M100" i="8" s="1"/>
  <c r="M140" i="8" s="1"/>
  <c r="K60" i="8"/>
  <c r="K100" i="8" s="1"/>
  <c r="K140" i="8" s="1"/>
  <c r="H60" i="8"/>
  <c r="H100" i="8" s="1"/>
  <c r="H140" i="8" s="1"/>
  <c r="B60" i="8"/>
  <c r="B100" i="8" s="1"/>
  <c r="B140" i="8" s="1"/>
  <c r="A60" i="8"/>
  <c r="A100" i="8" s="1"/>
  <c r="A140" i="8" s="1"/>
  <c r="P59" i="8"/>
  <c r="P99" i="8" s="1"/>
  <c r="P139" i="8" s="1"/>
  <c r="M59" i="8"/>
  <c r="M99" i="8" s="1"/>
  <c r="M139" i="8" s="1"/>
  <c r="K59" i="8"/>
  <c r="K99" i="8" s="1"/>
  <c r="K139" i="8" s="1"/>
  <c r="H59" i="8"/>
  <c r="H99" i="8" s="1"/>
  <c r="H139" i="8" s="1"/>
  <c r="B59" i="8"/>
  <c r="B99" i="8" s="1"/>
  <c r="B139" i="8" s="1"/>
  <c r="A59" i="8"/>
  <c r="A99" i="8" s="1"/>
  <c r="A139" i="8" s="1"/>
  <c r="P58" i="8"/>
  <c r="P98" i="8" s="1"/>
  <c r="P138" i="8" s="1"/>
  <c r="M58" i="8"/>
  <c r="M98" i="8" s="1"/>
  <c r="M138" i="8" s="1"/>
  <c r="K58" i="8"/>
  <c r="K98" i="8" s="1"/>
  <c r="K138" i="8" s="1"/>
  <c r="H58" i="8"/>
  <c r="H98" i="8" s="1"/>
  <c r="H138" i="8" s="1"/>
  <c r="B58" i="8"/>
  <c r="B98" i="8" s="1"/>
  <c r="B138" i="8" s="1"/>
  <c r="A58" i="8"/>
  <c r="A98" i="8" s="1"/>
  <c r="A138" i="8" s="1"/>
  <c r="P57" i="8"/>
  <c r="P97" i="8" s="1"/>
  <c r="P137" i="8" s="1"/>
  <c r="M57" i="8"/>
  <c r="M97" i="8" s="1"/>
  <c r="M137" i="8" s="1"/>
  <c r="K57" i="8"/>
  <c r="K97" i="8" s="1"/>
  <c r="K137" i="8" s="1"/>
  <c r="H57" i="8"/>
  <c r="H97" i="8" s="1"/>
  <c r="H137" i="8" s="1"/>
  <c r="B57" i="8"/>
  <c r="B97" i="8" s="1"/>
  <c r="B137" i="8" s="1"/>
  <c r="A57" i="8"/>
  <c r="A97" i="8" s="1"/>
  <c r="A137" i="8" s="1"/>
  <c r="P56" i="8"/>
  <c r="P96" i="8" s="1"/>
  <c r="P136" i="8" s="1"/>
  <c r="M56" i="8"/>
  <c r="M96" i="8" s="1"/>
  <c r="M136" i="8" s="1"/>
  <c r="K56" i="8"/>
  <c r="K96" i="8" s="1"/>
  <c r="K136" i="8" s="1"/>
  <c r="H56" i="8"/>
  <c r="B56" i="8"/>
  <c r="B96" i="8" s="1"/>
  <c r="B136" i="8" s="1"/>
  <c r="A56" i="8"/>
  <c r="A96" i="8" s="1"/>
  <c r="A136" i="8" s="1"/>
  <c r="P55" i="8"/>
  <c r="P95" i="8" s="1"/>
  <c r="P135" i="8" s="1"/>
  <c r="M55" i="8"/>
  <c r="M95" i="8" s="1"/>
  <c r="M135" i="8" s="1"/>
  <c r="K55" i="8"/>
  <c r="K95" i="8" s="1"/>
  <c r="H55" i="8"/>
  <c r="H95" i="8" s="1"/>
  <c r="B55" i="8"/>
  <c r="B95" i="8" s="1"/>
  <c r="B135" i="8" s="1"/>
  <c r="A55" i="8"/>
  <c r="A95" i="8" s="1"/>
  <c r="A135" i="8" s="1"/>
  <c r="C54" i="8"/>
  <c r="C94" i="8" s="1"/>
  <c r="C134" i="8" s="1"/>
  <c r="C53" i="8"/>
  <c r="C93" i="8" s="1"/>
  <c r="C133" i="8" s="1"/>
  <c r="B53" i="8"/>
  <c r="B93" i="8" s="1"/>
  <c r="B133" i="8" s="1"/>
  <c r="L49" i="8"/>
  <c r="L89" i="8" s="1"/>
  <c r="L129" i="8" s="1"/>
  <c r="L48" i="8"/>
  <c r="L88" i="8" s="1"/>
  <c r="L128" i="8" s="1"/>
  <c r="A48" i="8"/>
  <c r="A88" i="8" s="1"/>
  <c r="A128" i="8" s="1"/>
  <c r="L46" i="8"/>
  <c r="L86" i="8" s="1"/>
  <c r="L126" i="8" s="1"/>
  <c r="C46" i="8"/>
  <c r="C86" i="8" s="1"/>
  <c r="C126" i="8" s="1"/>
  <c r="M42" i="8"/>
  <c r="M82" i="8" s="1"/>
  <c r="M122" i="8" s="1"/>
  <c r="K35" i="8"/>
  <c r="H35" i="8"/>
  <c r="L7" i="8"/>
  <c r="L47" i="8" s="1"/>
  <c r="L87" i="8" s="1"/>
  <c r="L127" i="8" s="1"/>
  <c r="H75" i="14" l="1"/>
  <c r="H75" i="8"/>
  <c r="H135" i="16"/>
  <c r="H155" i="16" s="1"/>
  <c r="H115" i="16"/>
  <c r="K135" i="16"/>
  <c r="K155" i="16" s="1"/>
  <c r="K115" i="16"/>
  <c r="H75" i="16"/>
  <c r="K75" i="16"/>
  <c r="H135" i="15"/>
  <c r="H155" i="15" s="1"/>
  <c r="H115" i="15"/>
  <c r="K135" i="15"/>
  <c r="K155" i="15" s="1"/>
  <c r="K115" i="15"/>
  <c r="H75" i="15"/>
  <c r="K75" i="15"/>
  <c r="H135" i="14"/>
  <c r="K135" i="14"/>
  <c r="K155" i="14" s="1"/>
  <c r="K115" i="14"/>
  <c r="H96" i="14"/>
  <c r="H136" i="14" s="1"/>
  <c r="K75" i="14"/>
  <c r="H115" i="13"/>
  <c r="H135" i="13"/>
  <c r="H155" i="13" s="1"/>
  <c r="K135" i="13"/>
  <c r="K155" i="13" s="1"/>
  <c r="K115" i="13"/>
  <c r="K75" i="13"/>
  <c r="H75" i="13"/>
  <c r="H135" i="12"/>
  <c r="H155" i="12" s="1"/>
  <c r="H115" i="12"/>
  <c r="K135" i="12"/>
  <c r="K155" i="12" s="1"/>
  <c r="K115" i="12"/>
  <c r="H75" i="12"/>
  <c r="K75" i="12"/>
  <c r="H135" i="11"/>
  <c r="H155" i="11" s="1"/>
  <c r="H115" i="11"/>
  <c r="K135" i="11"/>
  <c r="K155" i="11" s="1"/>
  <c r="K115" i="11"/>
  <c r="H75" i="11"/>
  <c r="K75" i="11"/>
  <c r="H135" i="10"/>
  <c r="H155" i="10" s="1"/>
  <c r="H115" i="10"/>
  <c r="K135" i="10"/>
  <c r="K155" i="10" s="1"/>
  <c r="K115" i="10"/>
  <c r="H75" i="10"/>
  <c r="K75" i="10"/>
  <c r="H135" i="9"/>
  <c r="H155" i="9" s="1"/>
  <c r="H115" i="9"/>
  <c r="K135" i="9"/>
  <c r="K155" i="9" s="1"/>
  <c r="K115" i="9"/>
  <c r="H75" i="9"/>
  <c r="K75" i="9"/>
  <c r="H135" i="8"/>
  <c r="K135" i="8"/>
  <c r="K155" i="8" s="1"/>
  <c r="K115" i="8"/>
  <c r="H96" i="8"/>
  <c r="H136" i="8" s="1"/>
  <c r="K75" i="8"/>
  <c r="B114" i="7"/>
  <c r="B154" i="7" s="1"/>
  <c r="B113" i="7"/>
  <c r="B153" i="7" s="1"/>
  <c r="B112" i="7"/>
  <c r="B152" i="7" s="1"/>
  <c r="B111" i="7"/>
  <c r="B151" i="7" s="1"/>
  <c r="B110" i="7"/>
  <c r="B150" i="7" s="1"/>
  <c r="C93" i="7"/>
  <c r="C133" i="7" s="1"/>
  <c r="M78" i="7"/>
  <c r="M118" i="7" s="1"/>
  <c r="M158" i="7" s="1"/>
  <c r="D78" i="7"/>
  <c r="D118" i="7" s="1"/>
  <c r="D158" i="7" s="1"/>
  <c r="M77" i="7"/>
  <c r="M117" i="7" s="1"/>
  <c r="M157" i="7" s="1"/>
  <c r="D77" i="7"/>
  <c r="D117" i="7" s="1"/>
  <c r="D157" i="7" s="1"/>
  <c r="P74" i="7"/>
  <c r="P114" i="7" s="1"/>
  <c r="P154" i="7" s="1"/>
  <c r="M74" i="7"/>
  <c r="M114" i="7" s="1"/>
  <c r="M154" i="7" s="1"/>
  <c r="K74" i="7"/>
  <c r="K114" i="7" s="1"/>
  <c r="K154" i="7" s="1"/>
  <c r="H74" i="7"/>
  <c r="H114" i="7" s="1"/>
  <c r="H154" i="7" s="1"/>
  <c r="B74" i="7"/>
  <c r="A74" i="7"/>
  <c r="A114" i="7" s="1"/>
  <c r="A154" i="7" s="1"/>
  <c r="P73" i="7"/>
  <c r="P113" i="7" s="1"/>
  <c r="P153" i="7" s="1"/>
  <c r="M73" i="7"/>
  <c r="M113" i="7" s="1"/>
  <c r="M153" i="7" s="1"/>
  <c r="K73" i="7"/>
  <c r="K113" i="7" s="1"/>
  <c r="K153" i="7" s="1"/>
  <c r="H73" i="7"/>
  <c r="H113" i="7" s="1"/>
  <c r="H153" i="7" s="1"/>
  <c r="B73" i="7"/>
  <c r="A73" i="7"/>
  <c r="A113" i="7" s="1"/>
  <c r="A153" i="7" s="1"/>
  <c r="P72" i="7"/>
  <c r="P112" i="7" s="1"/>
  <c r="P152" i="7" s="1"/>
  <c r="M72" i="7"/>
  <c r="M112" i="7" s="1"/>
  <c r="M152" i="7" s="1"/>
  <c r="K72" i="7"/>
  <c r="K112" i="7" s="1"/>
  <c r="K152" i="7" s="1"/>
  <c r="H72" i="7"/>
  <c r="H112" i="7" s="1"/>
  <c r="H152" i="7" s="1"/>
  <c r="B72" i="7"/>
  <c r="A72" i="7"/>
  <c r="A112" i="7" s="1"/>
  <c r="A152" i="7" s="1"/>
  <c r="P71" i="7"/>
  <c r="P111" i="7" s="1"/>
  <c r="P151" i="7" s="1"/>
  <c r="M71" i="7"/>
  <c r="M111" i="7" s="1"/>
  <c r="M151" i="7" s="1"/>
  <c r="K71" i="7"/>
  <c r="K111" i="7" s="1"/>
  <c r="K151" i="7" s="1"/>
  <c r="H71" i="7"/>
  <c r="H111" i="7" s="1"/>
  <c r="H151" i="7" s="1"/>
  <c r="B71" i="7"/>
  <c r="A71" i="7"/>
  <c r="A111" i="7" s="1"/>
  <c r="A151" i="7" s="1"/>
  <c r="P70" i="7"/>
  <c r="P110" i="7" s="1"/>
  <c r="P150" i="7" s="1"/>
  <c r="M70" i="7"/>
  <c r="M110" i="7" s="1"/>
  <c r="M150" i="7" s="1"/>
  <c r="K70" i="7"/>
  <c r="K110" i="7" s="1"/>
  <c r="K150" i="7" s="1"/>
  <c r="H70" i="7"/>
  <c r="H110" i="7" s="1"/>
  <c r="H150" i="7" s="1"/>
  <c r="B70" i="7"/>
  <c r="A70" i="7"/>
  <c r="A110" i="7" s="1"/>
  <c r="A150" i="7" s="1"/>
  <c r="P69" i="7"/>
  <c r="P109" i="7" s="1"/>
  <c r="P149" i="7" s="1"/>
  <c r="M69" i="7"/>
  <c r="M109" i="7" s="1"/>
  <c r="M149" i="7" s="1"/>
  <c r="K69" i="7"/>
  <c r="K109" i="7" s="1"/>
  <c r="K149" i="7" s="1"/>
  <c r="H69" i="7"/>
  <c r="H109" i="7" s="1"/>
  <c r="H149" i="7" s="1"/>
  <c r="B69" i="7"/>
  <c r="B109" i="7" s="1"/>
  <c r="B149" i="7" s="1"/>
  <c r="A69" i="7"/>
  <c r="A109" i="7" s="1"/>
  <c r="A149" i="7" s="1"/>
  <c r="P68" i="7"/>
  <c r="P108" i="7" s="1"/>
  <c r="P148" i="7" s="1"/>
  <c r="M68" i="7"/>
  <c r="M108" i="7" s="1"/>
  <c r="M148" i="7" s="1"/>
  <c r="K68" i="7"/>
  <c r="K108" i="7" s="1"/>
  <c r="K148" i="7" s="1"/>
  <c r="H68" i="7"/>
  <c r="H108" i="7" s="1"/>
  <c r="H148" i="7" s="1"/>
  <c r="B68" i="7"/>
  <c r="B108" i="7" s="1"/>
  <c r="B148" i="7" s="1"/>
  <c r="A68" i="7"/>
  <c r="A108" i="7" s="1"/>
  <c r="A148" i="7" s="1"/>
  <c r="P67" i="7"/>
  <c r="P107" i="7" s="1"/>
  <c r="P147" i="7" s="1"/>
  <c r="M67" i="7"/>
  <c r="M107" i="7" s="1"/>
  <c r="M147" i="7" s="1"/>
  <c r="K67" i="7"/>
  <c r="K107" i="7" s="1"/>
  <c r="K147" i="7" s="1"/>
  <c r="H67" i="7"/>
  <c r="H107" i="7" s="1"/>
  <c r="H147" i="7" s="1"/>
  <c r="B67" i="7"/>
  <c r="B107" i="7" s="1"/>
  <c r="B147" i="7" s="1"/>
  <c r="A67" i="7"/>
  <c r="A107" i="7" s="1"/>
  <c r="A147" i="7" s="1"/>
  <c r="P66" i="7"/>
  <c r="P106" i="7" s="1"/>
  <c r="P146" i="7" s="1"/>
  <c r="M66" i="7"/>
  <c r="M106" i="7" s="1"/>
  <c r="M146" i="7" s="1"/>
  <c r="K66" i="7"/>
  <c r="K106" i="7" s="1"/>
  <c r="K146" i="7" s="1"/>
  <c r="H66" i="7"/>
  <c r="H106" i="7" s="1"/>
  <c r="H146" i="7" s="1"/>
  <c r="B66" i="7"/>
  <c r="B106" i="7" s="1"/>
  <c r="B146" i="7" s="1"/>
  <c r="A66" i="7"/>
  <c r="A106" i="7" s="1"/>
  <c r="A146" i="7" s="1"/>
  <c r="P65" i="7"/>
  <c r="P105" i="7" s="1"/>
  <c r="P145" i="7" s="1"/>
  <c r="M65" i="7"/>
  <c r="M105" i="7" s="1"/>
  <c r="M145" i="7" s="1"/>
  <c r="K65" i="7"/>
  <c r="K105" i="7" s="1"/>
  <c r="K145" i="7" s="1"/>
  <c r="H65" i="7"/>
  <c r="H105" i="7" s="1"/>
  <c r="H145" i="7" s="1"/>
  <c r="B65" i="7"/>
  <c r="B105" i="7" s="1"/>
  <c r="B145" i="7" s="1"/>
  <c r="A65" i="7"/>
  <c r="A105" i="7" s="1"/>
  <c r="A145" i="7" s="1"/>
  <c r="P64" i="7"/>
  <c r="P104" i="7" s="1"/>
  <c r="P144" i="7" s="1"/>
  <c r="M64" i="7"/>
  <c r="M104" i="7" s="1"/>
  <c r="M144" i="7" s="1"/>
  <c r="K64" i="7"/>
  <c r="K104" i="7" s="1"/>
  <c r="K144" i="7" s="1"/>
  <c r="H64" i="7"/>
  <c r="H104" i="7" s="1"/>
  <c r="H144" i="7" s="1"/>
  <c r="B64" i="7"/>
  <c r="B104" i="7" s="1"/>
  <c r="B144" i="7" s="1"/>
  <c r="A64" i="7"/>
  <c r="A104" i="7" s="1"/>
  <c r="A144" i="7" s="1"/>
  <c r="P63" i="7"/>
  <c r="P103" i="7" s="1"/>
  <c r="P143" i="7" s="1"/>
  <c r="M63" i="7"/>
  <c r="M103" i="7" s="1"/>
  <c r="M143" i="7" s="1"/>
  <c r="K63" i="7"/>
  <c r="K103" i="7" s="1"/>
  <c r="K143" i="7" s="1"/>
  <c r="H63" i="7"/>
  <c r="H103" i="7" s="1"/>
  <c r="H143" i="7" s="1"/>
  <c r="B63" i="7"/>
  <c r="B103" i="7" s="1"/>
  <c r="B143" i="7" s="1"/>
  <c r="A63" i="7"/>
  <c r="A103" i="7" s="1"/>
  <c r="A143" i="7" s="1"/>
  <c r="P62" i="7"/>
  <c r="P102" i="7" s="1"/>
  <c r="P142" i="7" s="1"/>
  <c r="M62" i="7"/>
  <c r="M102" i="7" s="1"/>
  <c r="M142" i="7" s="1"/>
  <c r="K62" i="7"/>
  <c r="K102" i="7" s="1"/>
  <c r="K142" i="7" s="1"/>
  <c r="H62" i="7"/>
  <c r="H102" i="7" s="1"/>
  <c r="H142" i="7" s="1"/>
  <c r="B62" i="7"/>
  <c r="B102" i="7" s="1"/>
  <c r="B142" i="7" s="1"/>
  <c r="A62" i="7"/>
  <c r="A102" i="7" s="1"/>
  <c r="A142" i="7" s="1"/>
  <c r="P61" i="7"/>
  <c r="P101" i="7" s="1"/>
  <c r="P141" i="7" s="1"/>
  <c r="M61" i="7"/>
  <c r="M101" i="7" s="1"/>
  <c r="M141" i="7" s="1"/>
  <c r="K61" i="7"/>
  <c r="K101" i="7" s="1"/>
  <c r="K141" i="7" s="1"/>
  <c r="H61" i="7"/>
  <c r="H101" i="7" s="1"/>
  <c r="H141" i="7" s="1"/>
  <c r="B61" i="7"/>
  <c r="B101" i="7" s="1"/>
  <c r="B141" i="7" s="1"/>
  <c r="A61" i="7"/>
  <c r="A101" i="7" s="1"/>
  <c r="A141" i="7" s="1"/>
  <c r="P60" i="7"/>
  <c r="P100" i="7" s="1"/>
  <c r="P140" i="7" s="1"/>
  <c r="M60" i="7"/>
  <c r="M100" i="7" s="1"/>
  <c r="M140" i="7" s="1"/>
  <c r="K60" i="7"/>
  <c r="K100" i="7" s="1"/>
  <c r="K140" i="7" s="1"/>
  <c r="H60" i="7"/>
  <c r="H100" i="7" s="1"/>
  <c r="H140" i="7" s="1"/>
  <c r="B60" i="7"/>
  <c r="B100" i="7" s="1"/>
  <c r="B140" i="7" s="1"/>
  <c r="A60" i="7"/>
  <c r="A100" i="7" s="1"/>
  <c r="A140" i="7" s="1"/>
  <c r="P59" i="7"/>
  <c r="P99" i="7" s="1"/>
  <c r="P139" i="7" s="1"/>
  <c r="M59" i="7"/>
  <c r="M99" i="7" s="1"/>
  <c r="M139" i="7" s="1"/>
  <c r="K59" i="7"/>
  <c r="K99" i="7" s="1"/>
  <c r="K139" i="7" s="1"/>
  <c r="H59" i="7"/>
  <c r="H99" i="7" s="1"/>
  <c r="H139" i="7" s="1"/>
  <c r="B59" i="7"/>
  <c r="B99" i="7" s="1"/>
  <c r="B139" i="7" s="1"/>
  <c r="A59" i="7"/>
  <c r="A99" i="7" s="1"/>
  <c r="A139" i="7" s="1"/>
  <c r="P58" i="7"/>
  <c r="P98" i="7" s="1"/>
  <c r="P138" i="7" s="1"/>
  <c r="M58" i="7"/>
  <c r="M98" i="7" s="1"/>
  <c r="M138" i="7" s="1"/>
  <c r="K58" i="7"/>
  <c r="K98" i="7" s="1"/>
  <c r="K138" i="7" s="1"/>
  <c r="H58" i="7"/>
  <c r="H98" i="7" s="1"/>
  <c r="H138" i="7" s="1"/>
  <c r="B58" i="7"/>
  <c r="B98" i="7" s="1"/>
  <c r="B138" i="7" s="1"/>
  <c r="A58" i="7"/>
  <c r="A98" i="7" s="1"/>
  <c r="A138" i="7" s="1"/>
  <c r="P57" i="7"/>
  <c r="P97" i="7" s="1"/>
  <c r="P137" i="7" s="1"/>
  <c r="M57" i="7"/>
  <c r="M97" i="7" s="1"/>
  <c r="M137" i="7" s="1"/>
  <c r="K57" i="7"/>
  <c r="K97" i="7" s="1"/>
  <c r="K137" i="7" s="1"/>
  <c r="H57" i="7"/>
  <c r="H97" i="7" s="1"/>
  <c r="H137" i="7" s="1"/>
  <c r="B57" i="7"/>
  <c r="B97" i="7" s="1"/>
  <c r="B137" i="7" s="1"/>
  <c r="A57" i="7"/>
  <c r="A97" i="7" s="1"/>
  <c r="A137" i="7" s="1"/>
  <c r="P56" i="7"/>
  <c r="P96" i="7" s="1"/>
  <c r="P136" i="7" s="1"/>
  <c r="M56" i="7"/>
  <c r="M96" i="7" s="1"/>
  <c r="M136" i="7" s="1"/>
  <c r="K56" i="7"/>
  <c r="K96" i="7" s="1"/>
  <c r="K136" i="7" s="1"/>
  <c r="H56" i="7"/>
  <c r="H96" i="7" s="1"/>
  <c r="H136" i="7" s="1"/>
  <c r="B56" i="7"/>
  <c r="B96" i="7" s="1"/>
  <c r="B136" i="7" s="1"/>
  <c r="A56" i="7"/>
  <c r="A96" i="7" s="1"/>
  <c r="A136" i="7" s="1"/>
  <c r="P55" i="7"/>
  <c r="P95" i="7" s="1"/>
  <c r="P135" i="7" s="1"/>
  <c r="M55" i="7"/>
  <c r="M95" i="7" s="1"/>
  <c r="M135" i="7" s="1"/>
  <c r="K55" i="7"/>
  <c r="H55" i="7"/>
  <c r="B55" i="7"/>
  <c r="B95" i="7" s="1"/>
  <c r="B135" i="7" s="1"/>
  <c r="A55" i="7"/>
  <c r="A95" i="7" s="1"/>
  <c r="A135" i="7" s="1"/>
  <c r="C54" i="7"/>
  <c r="C94" i="7" s="1"/>
  <c r="C134" i="7" s="1"/>
  <c r="C53" i="7"/>
  <c r="B53" i="7"/>
  <c r="B93" i="7" s="1"/>
  <c r="B133" i="7" s="1"/>
  <c r="L49" i="7"/>
  <c r="L89" i="7" s="1"/>
  <c r="L129" i="7" s="1"/>
  <c r="L48" i="7"/>
  <c r="L88" i="7" s="1"/>
  <c r="L128" i="7" s="1"/>
  <c r="A48" i="7"/>
  <c r="A88" i="7" s="1"/>
  <c r="A128" i="7" s="1"/>
  <c r="L46" i="7"/>
  <c r="L86" i="7" s="1"/>
  <c r="L126" i="7" s="1"/>
  <c r="C46" i="7"/>
  <c r="C86" i="7" s="1"/>
  <c r="C126" i="7" s="1"/>
  <c r="M42" i="7"/>
  <c r="M82" i="7" s="1"/>
  <c r="M122" i="7" s="1"/>
  <c r="K35" i="7"/>
  <c r="H35" i="7"/>
  <c r="L47" i="7"/>
  <c r="L87" i="7" s="1"/>
  <c r="L127" i="7" s="1"/>
  <c r="H115" i="14" l="1"/>
  <c r="H155" i="14"/>
  <c r="H115" i="8"/>
  <c r="H155" i="8"/>
  <c r="H75" i="7"/>
  <c r="K75" i="7"/>
  <c r="H95" i="7"/>
  <c r="K95" i="7"/>
  <c r="H135" i="7" l="1"/>
  <c r="H155" i="7" s="1"/>
  <c r="H115" i="7"/>
  <c r="K135" i="7"/>
  <c r="K155" i="7" s="1"/>
  <c r="K115" i="7"/>
</calcChain>
</file>

<file path=xl/sharedStrings.xml><?xml version="1.0" encoding="utf-8"?>
<sst xmlns="http://schemas.openxmlformats.org/spreadsheetml/2006/main" count="2434" uniqueCount="296">
  <si>
    <t>Description Of Goods</t>
  </si>
  <si>
    <t>Quantity</t>
  </si>
  <si>
    <t>Carton</t>
  </si>
  <si>
    <t>Remarks</t>
  </si>
  <si>
    <t>Lock No</t>
  </si>
  <si>
    <t>Date</t>
  </si>
  <si>
    <t>Carrier</t>
  </si>
  <si>
    <t>:</t>
  </si>
  <si>
    <t>Delivery Mode</t>
  </si>
  <si>
    <t>Challan No:</t>
  </si>
  <si>
    <t>To:</t>
  </si>
  <si>
    <t xml:space="preserve">Buyer Name: </t>
  </si>
  <si>
    <t>Item No:</t>
  </si>
  <si>
    <t>Sample:</t>
  </si>
  <si>
    <t>Delivery of Readymade Garments</t>
  </si>
  <si>
    <t>Pcs</t>
  </si>
  <si>
    <t>Country</t>
  </si>
  <si>
    <t>Total :</t>
  </si>
  <si>
    <t xml:space="preserve"> Receiver's Signature </t>
  </si>
  <si>
    <t>Store</t>
  </si>
  <si>
    <t xml:space="preserve">For: Impress-Newtex Composite Textiles Ltd. </t>
  </si>
  <si>
    <t>Momin Nagar, Gorai, Mirzapur, Tangail.</t>
  </si>
  <si>
    <t>Driver Name:</t>
  </si>
  <si>
    <t>Mobile No:</t>
  </si>
  <si>
    <t>Licence Number:</t>
  </si>
  <si>
    <t>Covervan Number:</t>
  </si>
  <si>
    <t>FORM STR 03
REVISION NO 01</t>
  </si>
  <si>
    <r>
      <rPr>
        <b/>
        <sz val="28"/>
        <color theme="1"/>
        <rFont val="Calibri"/>
        <family val="2"/>
        <scheme val="minor"/>
      </rPr>
      <t>Impress-Newtex</t>
    </r>
    <r>
      <rPr>
        <b/>
        <sz val="20"/>
        <color theme="1"/>
        <rFont val="Calibri"/>
        <family val="2"/>
        <scheme val="minor"/>
      </rPr>
      <t xml:space="preserve">
</t>
    </r>
    <r>
      <rPr>
        <b/>
        <sz val="22"/>
        <color theme="1"/>
        <rFont val="Calibri"/>
        <family val="2"/>
        <scheme val="minor"/>
      </rPr>
      <t>Composite Textiles Ltd.</t>
    </r>
  </si>
  <si>
    <t>To</t>
  </si>
  <si>
    <t>SEA</t>
  </si>
  <si>
    <t>AIR</t>
  </si>
  <si>
    <t>SEA-AIR</t>
  </si>
  <si>
    <t>SL NO</t>
  </si>
  <si>
    <r>
      <rPr>
        <b/>
        <sz val="14"/>
        <color theme="1"/>
        <rFont val="Calibri"/>
        <family val="2"/>
        <scheme val="minor"/>
      </rPr>
      <t>Esack Brothers Industries Ltd.</t>
    </r>
    <r>
      <rPr>
        <sz val="11"/>
        <color theme="1"/>
        <rFont val="Calibri"/>
        <family val="2"/>
        <scheme val="minor"/>
      </rPr>
      <t xml:space="preserve">
Middle Halishahar, Bandar
Chattogram, Bangladesh.</t>
    </r>
  </si>
  <si>
    <r>
      <rPr>
        <b/>
        <sz val="14"/>
        <color theme="1"/>
        <rFont val="Calibri"/>
        <family val="2"/>
        <scheme val="minor"/>
      </rPr>
      <t>Vertex Off-Dock Logistics Services Ltd.</t>
    </r>
    <r>
      <rPr>
        <sz val="11"/>
        <color theme="1"/>
        <rFont val="Calibri"/>
        <family val="2"/>
        <scheme val="minor"/>
      </rPr>
      <t xml:space="preserve">
1443/1509, Old Airport Road, Katghar, North Patenga,
Chattogram 4204, Bangladesh.</t>
    </r>
  </si>
  <si>
    <r>
      <rPr>
        <b/>
        <sz val="16"/>
        <color theme="1"/>
        <rFont val="Calibri"/>
        <family val="2"/>
        <scheme val="minor"/>
      </rPr>
      <t>KDS Logistics Ltd.</t>
    </r>
    <r>
      <rPr>
        <sz val="11"/>
        <color theme="1"/>
        <rFont val="Calibri"/>
        <family val="2"/>
        <scheme val="minor"/>
      </rPr>
      <t xml:space="preserve">
Ghoramara, Sonalchari, Sitakunda
Chattogram 4318, Bangladesh.</t>
    </r>
  </si>
  <si>
    <r>
      <rPr>
        <b/>
        <sz val="16"/>
        <color theme="1"/>
        <rFont val="Calibri"/>
        <family val="2"/>
        <scheme val="minor"/>
      </rPr>
      <t>M/S Zaman &amp; Sons.</t>
    </r>
    <r>
      <rPr>
        <sz val="11"/>
        <color theme="1"/>
        <rFont val="Calibri"/>
        <family val="2"/>
        <scheme val="minor"/>
      </rPr>
      <t xml:space="preserve">
Mongla Brndar
76 Sir Iqbal-Road, Baitypara, Khulna, Bangladesh.</t>
    </r>
  </si>
  <si>
    <r>
      <rPr>
        <b/>
        <sz val="14"/>
        <color theme="1"/>
        <rFont val="Calibri"/>
        <family val="2"/>
        <scheme val="minor"/>
      </rPr>
      <t>HELLMANN WORLDWIDE LOGISTICS.</t>
    </r>
    <r>
      <rPr>
        <sz val="11"/>
        <color theme="1"/>
        <rFont val="Calibri"/>
        <family val="2"/>
        <scheme val="minor"/>
      </rPr>
      <t xml:space="preserve">
Hrb Industrial Complex, Istema Road,
Nasimpur, Tongi, Gazipur, Bangladesh.</t>
    </r>
  </si>
  <si>
    <r>
      <rPr>
        <b/>
        <sz val="14"/>
        <color theme="1"/>
        <rFont val="Calibri"/>
        <family val="2"/>
        <scheme val="minor"/>
      </rPr>
      <t>Nippon Express Bangladesh Ltd.</t>
    </r>
    <r>
      <rPr>
        <sz val="11"/>
        <color theme="1"/>
        <rFont val="Calibri"/>
        <family val="2"/>
        <scheme val="minor"/>
      </rPr>
      <t xml:space="preserve">
Holding No: 1015/1
Gacha Road, Tongi, Gazipur, Bangladesh.</t>
    </r>
  </si>
  <si>
    <t>Esak</t>
  </si>
  <si>
    <t>SAPL</t>
  </si>
  <si>
    <t>OCL</t>
  </si>
  <si>
    <t>Vertex</t>
  </si>
  <si>
    <t>KDS</t>
  </si>
  <si>
    <t>Mongla</t>
  </si>
  <si>
    <t>HELLMANN</t>
  </si>
  <si>
    <t>Nippon</t>
  </si>
  <si>
    <r>
      <rPr>
        <b/>
        <sz val="14"/>
        <color theme="1"/>
        <rFont val="Calibri"/>
        <family val="2"/>
        <scheme val="minor"/>
      </rPr>
      <t>M/S. Kabir &amp; Co.</t>
    </r>
    <r>
      <rPr>
        <sz val="11"/>
        <color theme="1"/>
        <rFont val="Calibri"/>
        <family val="2"/>
        <scheme val="minor"/>
      </rPr>
      <t xml:space="preserve">
1104DT Road West Madarbari,
Chattogram, Bangladesh.</t>
    </r>
  </si>
  <si>
    <r>
      <rPr>
        <b/>
        <sz val="14"/>
        <color theme="1"/>
        <rFont val="Calibri"/>
        <family val="2"/>
        <scheme val="minor"/>
      </rPr>
      <t>A.</t>
    </r>
    <r>
      <rPr>
        <sz val="11"/>
        <color theme="1"/>
        <rFont val="Calibri"/>
        <family val="2"/>
        <scheme val="minor"/>
      </rPr>
      <t xml:space="preserve">
1104DT Road West Madarbari,
Chattogram, Bangladesh.</t>
    </r>
  </si>
  <si>
    <r>
      <rPr>
        <b/>
        <sz val="14"/>
        <color theme="1"/>
        <rFont val="Calibri"/>
        <family val="2"/>
        <scheme val="minor"/>
      </rPr>
      <t>B.</t>
    </r>
    <r>
      <rPr>
        <sz val="11"/>
        <color theme="1"/>
        <rFont val="Calibri"/>
        <family val="2"/>
        <scheme val="minor"/>
      </rPr>
      <t xml:space="preserve">
1104DT Road West Madarbari,
Chattogram, Bangladesh.</t>
    </r>
  </si>
  <si>
    <r>
      <rPr>
        <b/>
        <sz val="14"/>
        <color theme="1"/>
        <rFont val="Calibri"/>
        <family val="2"/>
        <scheme val="minor"/>
      </rPr>
      <t>C.</t>
    </r>
    <r>
      <rPr>
        <sz val="11"/>
        <color theme="1"/>
        <rFont val="Calibri"/>
        <family val="2"/>
        <scheme val="minor"/>
      </rPr>
      <t xml:space="preserve">
1104DT Road West Madarbari,
Chattogram, Bangladesh.</t>
    </r>
  </si>
  <si>
    <r>
      <rPr>
        <b/>
        <sz val="14"/>
        <color theme="1"/>
        <rFont val="Calibri"/>
        <family val="2"/>
        <scheme val="minor"/>
      </rPr>
      <t>D.</t>
    </r>
    <r>
      <rPr>
        <sz val="11"/>
        <color theme="1"/>
        <rFont val="Calibri"/>
        <family val="2"/>
        <scheme val="minor"/>
      </rPr>
      <t xml:space="preserve">
1104DT Road West Madarbari,
Chattogram, Bangladesh.</t>
    </r>
  </si>
  <si>
    <t>M/S. Kabir &amp; Co.
1104DT Road West Madarbari,
Chattogram, Bangladesh.</t>
  </si>
  <si>
    <t>Buyer</t>
  </si>
  <si>
    <t>Aldi (GP)</t>
  </si>
  <si>
    <t>Aldi</t>
  </si>
  <si>
    <t>American Eagle (AEO)</t>
  </si>
  <si>
    <t>Artsana</t>
  </si>
  <si>
    <t>As Color Ltd.</t>
  </si>
  <si>
    <t>Carrefour</t>
  </si>
  <si>
    <t>Celio</t>
  </si>
  <si>
    <t>Centric</t>
  </si>
  <si>
    <t>Cotton On</t>
  </si>
  <si>
    <t>Farmers</t>
  </si>
  <si>
    <t>Feuchter</t>
  </si>
  <si>
    <t>Glassons</t>
  </si>
  <si>
    <t>H &amp; M</t>
  </si>
  <si>
    <t>C &amp; A</t>
  </si>
  <si>
    <t>Hummel</t>
  </si>
  <si>
    <t>Hurley</t>
  </si>
  <si>
    <t>INCTL</t>
  </si>
  <si>
    <t>JDY</t>
  </si>
  <si>
    <t>Jack &amp; Jones</t>
  </si>
  <si>
    <t>Kaufland</t>
  </si>
  <si>
    <t>LLC Baltic</t>
  </si>
  <si>
    <t>Lidl</t>
  </si>
  <si>
    <t>MOSAIC BRANDS</t>
  </si>
  <si>
    <t>NZA</t>
  </si>
  <si>
    <t>Next</t>
  </si>
  <si>
    <t>OVS</t>
  </si>
  <si>
    <t>Only</t>
  </si>
  <si>
    <t>Only &amp; Sons</t>
  </si>
  <si>
    <t>PUMA</t>
  </si>
  <si>
    <t>Preston Innovations Europe</t>
  </si>
  <si>
    <t>Primark</t>
  </si>
  <si>
    <t>Tom Tailor</t>
  </si>
  <si>
    <t xml:space="preserve">The Ware House </t>
  </si>
  <si>
    <t>Yamamay</t>
  </si>
  <si>
    <t>Order Number:</t>
  </si>
  <si>
    <t>DELIVERY CHALLAN (Forwarder Copy)</t>
  </si>
  <si>
    <t>DELIVERY CHALLAN (Carrier Copy)</t>
  </si>
  <si>
    <t>DELIVERY CHALLAN (Factory Gate Copy)</t>
  </si>
  <si>
    <t>DELIVERY CHALLAN (Shipping Copy)</t>
  </si>
  <si>
    <r>
      <rPr>
        <b/>
        <sz val="14"/>
        <color theme="1"/>
        <rFont val="Calibri"/>
        <family val="2"/>
        <scheme val="minor"/>
      </rPr>
      <t>Portlink Logistics Centre Ltd (PLCL)</t>
    </r>
    <r>
      <rPr>
        <sz val="11"/>
        <color theme="1"/>
        <rFont val="Calibri"/>
        <family val="2"/>
        <scheme val="minor"/>
      </rPr>
      <t xml:space="preserve">
Tobacco Gate, Banur Bazar, Salimpur, Bhatiary, Sitakunda, Chittagong, Bangladesh.</t>
    </r>
  </si>
  <si>
    <r>
      <rPr>
        <b/>
        <sz val="14"/>
        <color theme="1"/>
        <rFont val="Calibri"/>
        <family val="2"/>
        <scheme val="minor"/>
      </rPr>
      <t>BM Container Depot Limited</t>
    </r>
    <r>
      <rPr>
        <sz val="11"/>
        <color theme="1"/>
        <rFont val="Calibri"/>
        <family val="2"/>
        <scheme val="minor"/>
      </rPr>
      <t xml:space="preserve">
Shitalpur, Keshobpur, Sitakunda, 
Chittagong, Bangladesh.</t>
    </r>
  </si>
  <si>
    <r>
      <rPr>
        <b/>
        <sz val="14"/>
        <color theme="1"/>
        <rFont val="Calibri"/>
        <family val="2"/>
        <scheme val="minor"/>
      </rPr>
      <t>K &amp; T Logistics Limited</t>
    </r>
    <r>
      <rPr>
        <sz val="11"/>
        <color theme="1"/>
        <rFont val="Calibri"/>
        <family val="2"/>
        <scheme val="minor"/>
      </rPr>
      <t xml:space="preserve">
Sector-6A, CEPZ, South Halishahar,
Chittagong, Bangladesh.</t>
    </r>
  </si>
  <si>
    <t>PLCL</t>
  </si>
  <si>
    <t>K &amp; T</t>
  </si>
  <si>
    <t>BM</t>
  </si>
  <si>
    <r>
      <rPr>
        <b/>
        <sz val="14"/>
        <color theme="1"/>
        <rFont val="Calibri"/>
        <family val="2"/>
        <scheme val="minor"/>
      </rPr>
      <t>Summit Alliance Port Ltd. (SAPL).</t>
    </r>
    <r>
      <rPr>
        <sz val="11"/>
        <color theme="1"/>
        <rFont val="Calibri"/>
        <family val="2"/>
        <scheme val="minor"/>
      </rPr>
      <t xml:space="preserve">
Katghar, South Patenga, Chattogram.</t>
    </r>
  </si>
  <si>
    <r>
      <rPr>
        <b/>
        <sz val="14"/>
        <color theme="1"/>
        <rFont val="Calibri"/>
        <family val="2"/>
        <scheme val="minor"/>
      </rPr>
      <t>Summit Alliance Port Limited (OCL).</t>
    </r>
    <r>
      <rPr>
        <sz val="11"/>
        <color theme="1"/>
        <rFont val="Calibri"/>
        <family val="2"/>
        <scheme val="minor"/>
      </rPr>
      <t xml:space="preserve">
Katghar, North Patenga, Chitagong.</t>
    </r>
  </si>
  <si>
    <t>SML</t>
  </si>
  <si>
    <r>
      <rPr>
        <b/>
        <sz val="14"/>
        <color theme="1"/>
        <rFont val="Calibri"/>
        <family val="2"/>
        <scheme val="minor"/>
      </rPr>
      <t>Shafi Motors Limited (SML)</t>
    </r>
    <r>
      <rPr>
        <sz val="11"/>
        <color theme="1"/>
        <rFont val="Calibri"/>
        <family val="2"/>
        <scheme val="minor"/>
      </rPr>
      <t xml:space="preserve">
ICD/CFS : CDA, Plot # 64, Fauzderhat Heavy I/A, Sagorika Avenue, Chattogram.</t>
    </r>
  </si>
  <si>
    <r>
      <rPr>
        <b/>
        <sz val="14"/>
        <color theme="1"/>
        <rFont val="Calibri"/>
        <family val="2"/>
        <scheme val="minor"/>
      </rPr>
      <t>Ispahani Summit Alliance Terminals Limited(Isatl)</t>
    </r>
    <r>
      <rPr>
        <sz val="11"/>
        <color theme="1"/>
        <rFont val="Calibri"/>
        <family val="2"/>
        <scheme val="minor"/>
      </rPr>
      <t xml:space="preserve">
185/260, Dhaka Trunk Road, North Kattali, Pahartali, Chattogram-4207.</t>
    </r>
  </si>
  <si>
    <t>ISATL</t>
  </si>
  <si>
    <t>GCL</t>
  </si>
  <si>
    <r>
      <rPr>
        <b/>
        <sz val="14"/>
        <color theme="1"/>
        <rFont val="Calibri"/>
        <family val="2"/>
        <scheme val="minor"/>
      </rPr>
      <t>Golden Containers Limited (GCL)</t>
    </r>
    <r>
      <rPr>
        <sz val="11"/>
        <color theme="1"/>
        <rFont val="Calibri"/>
        <family val="2"/>
        <scheme val="minor"/>
      </rPr>
      <t xml:space="preserve">
North Kattali, Pahartali, City Gate,
Chittagong, Bangladesh.</t>
    </r>
  </si>
  <si>
    <r>
      <rPr>
        <b/>
        <sz val="14"/>
        <color theme="1"/>
        <rFont val="Calibri"/>
        <family val="2"/>
        <scheme val="minor"/>
      </rPr>
      <t>Nemsan Container Ltd.</t>
    </r>
    <r>
      <rPr>
        <sz val="11"/>
        <color theme="1"/>
        <rFont val="Calibri"/>
        <family val="2"/>
        <scheme val="minor"/>
      </rPr>
      <t xml:space="preserve">
Uttar Sonaichari, Kumira, 
Chittagong, Bangladesh.</t>
    </r>
  </si>
  <si>
    <t>NCL</t>
  </si>
  <si>
    <r>
      <rPr>
        <b/>
        <sz val="14"/>
        <color theme="1"/>
        <rFont val="Calibri"/>
        <family val="2"/>
        <scheme val="minor"/>
      </rPr>
      <t>Haji Saber Ahmed Timber Co. Ltd / Container Yard.</t>
    </r>
    <r>
      <rPr>
        <sz val="11"/>
        <color theme="1"/>
        <rFont val="Calibri"/>
        <family val="2"/>
        <scheme val="minor"/>
      </rPr>
      <t xml:space="preserve">
Infront Of Uniliver Brothers, 
CMB, Kalurghat, Chittagong.</t>
    </r>
  </si>
  <si>
    <t>HSAT Ltd.</t>
  </si>
  <si>
    <t>Best Seller</t>
  </si>
  <si>
    <t>O539</t>
  </si>
  <si>
    <t>Summit Alliance Port Ltd. (SAPL).
Katghar, South Patenga, Chattogram.</t>
  </si>
  <si>
    <t>O535</t>
  </si>
  <si>
    <t>O540</t>
  </si>
  <si>
    <t>O541</t>
  </si>
  <si>
    <t>O542</t>
  </si>
  <si>
    <t>O543</t>
  </si>
  <si>
    <t>O544</t>
  </si>
  <si>
    <t>O545</t>
  </si>
  <si>
    <t>O546</t>
  </si>
  <si>
    <t>O547</t>
  </si>
  <si>
    <t>Vertex Off-Dock Logistics Services Ltd.
1443/1509, Old Airport Road, Katghar, North Patenga,
Chattogram 4204, Bangladesh.</t>
  </si>
  <si>
    <t>323686-5832</t>
  </si>
  <si>
    <t>OG</t>
  </si>
  <si>
    <t>307355-5832</t>
  </si>
  <si>
    <t>OL</t>
  </si>
  <si>
    <t>307987-5832</t>
  </si>
  <si>
    <t>PA</t>
  </si>
  <si>
    <t>300635-5832</t>
  </si>
  <si>
    <t>GB</t>
  </si>
  <si>
    <t>307361-5832</t>
  </si>
  <si>
    <t>299581-5828</t>
  </si>
  <si>
    <t>CN</t>
  </si>
  <si>
    <t>306972-5828</t>
  </si>
  <si>
    <t>IX-65</t>
  </si>
  <si>
    <t>304153-7272</t>
  </si>
  <si>
    <t>GB,PA</t>
  </si>
  <si>
    <t>319437-5832</t>
  </si>
  <si>
    <t>291816-5832</t>
  </si>
  <si>
    <t>283581-5832</t>
  </si>
  <si>
    <t>OB</t>
  </si>
  <si>
    <t>302565-7952</t>
  </si>
  <si>
    <t>285445-5832</t>
  </si>
  <si>
    <t>318242-5832</t>
  </si>
  <si>
    <t>307360-5832</t>
  </si>
  <si>
    <t>OL,OB</t>
  </si>
  <si>
    <t>324425-5832</t>
  </si>
  <si>
    <t>PL</t>
  </si>
  <si>
    <t>285475-5832</t>
  </si>
  <si>
    <t>TH</t>
  </si>
  <si>
    <t>324414-5832</t>
  </si>
  <si>
    <t>201400-5828</t>
  </si>
  <si>
    <t>PE</t>
  </si>
  <si>
    <t>273732-5828</t>
  </si>
  <si>
    <t>VN</t>
  </si>
  <si>
    <t>315863-5832</t>
  </si>
  <si>
    <t>LH</t>
  </si>
  <si>
    <t>317453-5832</t>
  </si>
  <si>
    <t>SW</t>
  </si>
  <si>
    <t>323242-5832</t>
  </si>
  <si>
    <t>SW,LH</t>
  </si>
  <si>
    <t>325380-5832</t>
  </si>
  <si>
    <t>PLW067,PLW237,LH</t>
  </si>
  <si>
    <t>298564-7272</t>
  </si>
  <si>
    <t>TH,PH</t>
  </si>
  <si>
    <t>205423-5832</t>
  </si>
  <si>
    <t>290659-5832</t>
  </si>
  <si>
    <t>PH</t>
  </si>
  <si>
    <t>290658-5832</t>
  </si>
  <si>
    <t>315866-5832</t>
  </si>
  <si>
    <t>309497-5828</t>
  </si>
  <si>
    <t>296311-5832</t>
  </si>
  <si>
    <t>993118-1347</t>
  </si>
  <si>
    <t>277743-7952</t>
  </si>
  <si>
    <t>986995-1643</t>
  </si>
  <si>
    <t>MD.JAKIR</t>
  </si>
  <si>
    <t>01744-114979</t>
  </si>
  <si>
    <t>DM-TA 11-8150</t>
  </si>
  <si>
    <t>P046</t>
  </si>
  <si>
    <t>JP 523797</t>
  </si>
  <si>
    <t>207671-3932</t>
  </si>
  <si>
    <t>328562-7952</t>
  </si>
  <si>
    <t>321334-5828</t>
  </si>
  <si>
    <t>311047-5828</t>
  </si>
  <si>
    <t>323236-5832</t>
  </si>
  <si>
    <t>327483-7952</t>
  </si>
  <si>
    <t>990428-1643</t>
  </si>
  <si>
    <t>309643-5832</t>
  </si>
  <si>
    <t>PLW067,PLW237</t>
  </si>
  <si>
    <t>325378-5832</t>
  </si>
  <si>
    <t>Summit Alliance Port Limited (OCL).
Katghar, North Patenga, Chitagong.</t>
  </si>
  <si>
    <t>JP 523798</t>
  </si>
  <si>
    <t>OIW243,OIW404</t>
  </si>
  <si>
    <t>988034-5828</t>
  </si>
  <si>
    <t>UY</t>
  </si>
  <si>
    <t>318091-5828</t>
  </si>
  <si>
    <t>CA</t>
  </si>
  <si>
    <t>321792-7272</t>
  </si>
  <si>
    <t>IN</t>
  </si>
  <si>
    <t>OEW174</t>
  </si>
  <si>
    <t>987328-1643</t>
  </si>
  <si>
    <t>307395-5832</t>
  </si>
  <si>
    <t>982994-5832</t>
  </si>
  <si>
    <t>ZA</t>
  </si>
  <si>
    <t>309266-5828</t>
  </si>
  <si>
    <t>994036-1643</t>
  </si>
  <si>
    <t>992979-3932</t>
  </si>
  <si>
    <t>324417-5832</t>
  </si>
  <si>
    <t>324416-5832</t>
  </si>
  <si>
    <t>986373-1643</t>
  </si>
  <si>
    <t>983065-5832</t>
  </si>
  <si>
    <t>983063-5832</t>
  </si>
  <si>
    <t>297320-5828</t>
  </si>
  <si>
    <t>973838-5833</t>
  </si>
  <si>
    <t>309649-5832</t>
  </si>
  <si>
    <t>DR</t>
  </si>
  <si>
    <t>325717-5832</t>
  </si>
  <si>
    <t>TW</t>
  </si>
  <si>
    <t>316252-5832</t>
  </si>
  <si>
    <t>983067-5832</t>
  </si>
  <si>
    <t>306973-5828</t>
  </si>
  <si>
    <t>297321-5828</t>
  </si>
  <si>
    <t>297318-5828</t>
  </si>
  <si>
    <t>325706-5832</t>
  </si>
  <si>
    <t>325696-5832</t>
  </si>
  <si>
    <t>285434-5832</t>
  </si>
  <si>
    <t>285477-5832</t>
  </si>
  <si>
    <t>D.M.TA 13-5578</t>
  </si>
  <si>
    <t>01831-013822</t>
  </si>
  <si>
    <t>LT0001</t>
  </si>
  <si>
    <t>MD.JAMSHED</t>
  </si>
  <si>
    <t>JP 523803</t>
  </si>
  <si>
    <t>313888-5832</t>
  </si>
  <si>
    <t>318457-5832</t>
  </si>
  <si>
    <t>317923-5833</t>
  </si>
  <si>
    <t>285443-5832</t>
  </si>
  <si>
    <t>323654-5832</t>
  </si>
  <si>
    <t>318423-5832</t>
  </si>
  <si>
    <t>302714-5832</t>
  </si>
  <si>
    <t>320808-5833</t>
  </si>
  <si>
    <t>IX65</t>
  </si>
  <si>
    <t>308831-5828</t>
  </si>
  <si>
    <t>304166-7272</t>
  </si>
  <si>
    <t>291911-5832</t>
  </si>
  <si>
    <t>318421-5832</t>
  </si>
  <si>
    <t>302669-5832</t>
  </si>
  <si>
    <t>D.M.TA 13-0867</t>
  </si>
  <si>
    <t>01875-171707</t>
  </si>
  <si>
    <t>OOOO3</t>
  </si>
  <si>
    <t>MD.OHEDULLA</t>
  </si>
  <si>
    <t>KDS Logistics Ltd.
Ghoramara, Sonalchari, Sitakunda
Chattogram 4318, Bangladesh.</t>
  </si>
  <si>
    <t>300726-5832</t>
  </si>
  <si>
    <t>NH</t>
  </si>
  <si>
    <t>300624-5832</t>
  </si>
  <si>
    <t>300625-5832</t>
  </si>
  <si>
    <t>296984-7272</t>
  </si>
  <si>
    <t>LD</t>
  </si>
  <si>
    <t>283988-5828</t>
  </si>
  <si>
    <t>284072-5828</t>
  </si>
  <si>
    <t>272315-5828</t>
  </si>
  <si>
    <t>MY</t>
  </si>
  <si>
    <t>300626-5832</t>
  </si>
  <si>
    <t>300623-5832</t>
  </si>
  <si>
    <t>266270-5828</t>
  </si>
  <si>
    <t>267089-5828</t>
  </si>
  <si>
    <t>285469-5832</t>
  </si>
  <si>
    <t>MX,EC</t>
  </si>
  <si>
    <t>290560-5832</t>
  </si>
  <si>
    <t>294223-5832</t>
  </si>
  <si>
    <t>296214-5832</t>
  </si>
  <si>
    <t>MX</t>
  </si>
  <si>
    <t>300718-5832</t>
  </si>
  <si>
    <t>300719-5832</t>
  </si>
  <si>
    <t>JP 523804</t>
  </si>
  <si>
    <t>D.M.TA 19-7671</t>
  </si>
  <si>
    <t>01993-155561</t>
  </si>
  <si>
    <t>MD.MANNAN</t>
  </si>
  <si>
    <t>EMPTY CTN</t>
  </si>
  <si>
    <t>10 PS</t>
  </si>
  <si>
    <t>JP 523805</t>
  </si>
  <si>
    <t>D.M.TA 20-7316</t>
  </si>
  <si>
    <t>01718-019525</t>
  </si>
  <si>
    <t>OOO1</t>
  </si>
  <si>
    <t>MD.AMANULLA</t>
  </si>
  <si>
    <t>D.M.TA 11-4375</t>
  </si>
  <si>
    <t>01828-777862</t>
  </si>
  <si>
    <t>MD.MOHON</t>
  </si>
  <si>
    <t xml:space="preserve">EMPTY CTN </t>
  </si>
  <si>
    <t>JP 523806</t>
  </si>
  <si>
    <t>D.M.TA 22-2381</t>
  </si>
  <si>
    <t>01766-040391</t>
  </si>
  <si>
    <t>O138509</t>
  </si>
  <si>
    <t>MD.ISMAEIL</t>
  </si>
  <si>
    <t>JP 523807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</si>
</sst>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\ &quot;Pcs&quot;"/>
    <numFmt numFmtId="165" formatCode="0\ &quot;Ctn&quot;"/>
    <numFmt numFmtId="166" formatCode="[$-409]d/mmm/yy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name val="新細明體"/>
      <charset val="136"/>
    </font>
    <font>
      <b/>
      <sz val="12"/>
      <name val="新細明體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.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11" fillId="0" borderId="0"/>
  </cellStyleXfs>
  <cellXfs count="170">
    <xf numFmtId="0" fontId="0" fillId="0" borderId="0" xfId="0"/>
    <xf numFmtId="0" fontId="3" fillId="0" borderId="0" xfId="0" applyFont="1" applyAlignment="1">
      <alignment vertical="top"/>
    </xf>
    <xf numFmtId="0" fontId="4" fillId="0" borderId="0" xfId="0" applyFont="1"/>
    <xf numFmtId="0" fontId="1" fillId="0" borderId="23" xfId="0" applyFont="1" applyBorder="1" applyAlignment="1">
      <alignment vertical="center"/>
    </xf>
    <xf numFmtId="0" fontId="0" fillId="0" borderId="0" xfId="0" applyAlignment="1">
      <alignment vertical="top"/>
    </xf>
    <xf numFmtId="0" fontId="0" fillId="0" borderId="4" xfId="0" applyBorder="1"/>
    <xf numFmtId="0" fontId="0" fillId="0" borderId="0" xfId="0" applyAlignment="1">
      <alignment horizontal="center" vertical="top"/>
    </xf>
    <xf numFmtId="0" fontId="0" fillId="0" borderId="6" xfId="0" applyBorder="1"/>
    <xf numFmtId="0" fontId="0" fillId="0" borderId="30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0" fillId="0" borderId="1" xfId="0" applyBorder="1"/>
    <xf numFmtId="0" fontId="0" fillId="0" borderId="40" xfId="0" applyBorder="1"/>
    <xf numFmtId="0" fontId="0" fillId="0" borderId="1" xfId="0" applyBorder="1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2" borderId="1" xfId="0" applyFill="1" applyBorder="1"/>
    <xf numFmtId="0" fontId="3" fillId="0" borderId="11" xfId="0" applyFont="1" applyBorder="1" applyAlignment="1">
      <alignment horizontal="left"/>
    </xf>
    <xf numFmtId="0" fontId="0" fillId="0" borderId="18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3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2" borderId="0" xfId="0" applyFill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6" fillId="0" borderId="25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0" fontId="17" fillId="0" borderId="1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5" fillId="0" borderId="14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15" xfId="0" applyFont="1" applyBorder="1" applyAlignment="1">
      <alignment horizontal="left" vertical="top" wrapText="1"/>
    </xf>
    <xf numFmtId="0" fontId="15" fillId="0" borderId="16" xfId="0" applyFont="1" applyBorder="1" applyAlignment="1">
      <alignment horizontal="left" vertical="top" wrapText="1"/>
    </xf>
    <xf numFmtId="0" fontId="15" fillId="0" borderId="17" xfId="0" applyFont="1" applyBorder="1" applyAlignment="1">
      <alignment horizontal="left" vertical="top" wrapText="1"/>
    </xf>
    <xf numFmtId="0" fontId="15" fillId="0" borderId="18" xfId="0" applyFont="1" applyBorder="1" applyAlignment="1">
      <alignment horizontal="left" vertical="top" wrapText="1"/>
    </xf>
    <xf numFmtId="0" fontId="1" fillId="0" borderId="3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3" fillId="0" borderId="4" xfId="0" applyFont="1" applyBorder="1" applyAlignment="1">
      <alignment horizontal="left" vertical="center"/>
    </xf>
    <xf numFmtId="0" fontId="13" fillId="0" borderId="33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0" fillId="0" borderId="6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6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1" fillId="0" borderId="29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left" vertical="center"/>
    </xf>
    <xf numFmtId="166" fontId="12" fillId="0" borderId="4" xfId="0" applyNumberFormat="1" applyFont="1" applyBorder="1" applyAlignment="1">
      <alignment horizontal="left"/>
    </xf>
    <xf numFmtId="166" fontId="12" fillId="0" borderId="33" xfId="0" applyNumberFormat="1" applyFont="1" applyBorder="1" applyAlignment="1">
      <alignment horizontal="left"/>
    </xf>
    <xf numFmtId="0" fontId="1" fillId="0" borderId="3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40" xfId="0" applyNumberFormat="1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45" xfId="0" applyNumberFormat="1" applyBorder="1" applyAlignment="1">
      <alignment horizontal="center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/>
    </xf>
    <xf numFmtId="164" fontId="17" fillId="0" borderId="36" xfId="0" applyNumberFormat="1" applyFont="1" applyBorder="1" applyAlignment="1">
      <alignment horizontal="center" vertical="center"/>
    </xf>
    <xf numFmtId="164" fontId="17" fillId="0" borderId="30" xfId="0" applyNumberFormat="1" applyFont="1" applyBorder="1" applyAlignment="1">
      <alignment horizontal="center" vertical="center"/>
    </xf>
    <xf numFmtId="164" fontId="17" fillId="0" borderId="37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65" fontId="16" fillId="0" borderId="39" xfId="0" applyNumberFormat="1" applyFont="1" applyBorder="1" applyAlignment="1">
      <alignment horizontal="center" vertical="center"/>
    </xf>
    <xf numFmtId="165" fontId="16" fillId="0" borderId="12" xfId="0" applyNumberFormat="1" applyFont="1" applyBorder="1" applyAlignment="1">
      <alignment horizontal="center" vertical="center"/>
    </xf>
    <xf numFmtId="165" fontId="16" fillId="0" borderId="46" xfId="0" applyNumberFormat="1" applyFont="1" applyBorder="1" applyAlignment="1">
      <alignment horizontal="center" vertical="center"/>
    </xf>
    <xf numFmtId="164" fontId="16" fillId="0" borderId="39" xfId="0" applyNumberFormat="1" applyFont="1" applyBorder="1" applyAlignment="1">
      <alignment horizontal="center" vertical="center"/>
    </xf>
    <xf numFmtId="164" fontId="16" fillId="0" borderId="46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165" fontId="14" fillId="0" borderId="35" xfId="0" applyNumberFormat="1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164" fontId="14" fillId="0" borderId="35" xfId="0" applyNumberFormat="1" applyFont="1" applyBorder="1" applyAlignment="1">
      <alignment horizontal="center" vertical="center"/>
    </xf>
    <xf numFmtId="164" fontId="14" fillId="0" borderId="28" xfId="0" applyNumberFormat="1" applyFont="1" applyBorder="1" applyAlignment="1">
      <alignment horizontal="center" vertical="center"/>
    </xf>
    <xf numFmtId="164" fontId="0" fillId="0" borderId="35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0" fontId="0" fillId="0" borderId="52" xfId="0" applyBorder="1" applyAlignment="1">
      <alignment horizontal="center" vertical="top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5" fontId="16" fillId="0" borderId="47" xfId="0" applyNumberFormat="1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165" fontId="16" fillId="0" borderId="48" xfId="0" applyNumberFormat="1" applyFont="1" applyBorder="1" applyAlignment="1">
      <alignment horizontal="center" vertical="center"/>
    </xf>
    <xf numFmtId="164" fontId="16" fillId="0" borderId="47" xfId="0" applyNumberFormat="1" applyFont="1" applyBorder="1" applyAlignment="1">
      <alignment horizontal="center" vertical="center"/>
    </xf>
    <xf numFmtId="164" fontId="16" fillId="0" borderId="48" xfId="0" applyNumberFormat="1" applyFont="1" applyBorder="1" applyAlignment="1">
      <alignment horizontal="center" vertical="center"/>
    </xf>
    <xf numFmtId="164" fontId="17" fillId="0" borderId="47" xfId="0" applyNumberFormat="1" applyFont="1" applyBorder="1" applyAlignment="1">
      <alignment horizontal="center" vertical="center"/>
    </xf>
    <xf numFmtId="164" fontId="17" fillId="0" borderId="4" xfId="0" applyNumberFormat="1" applyFont="1" applyBorder="1" applyAlignment="1">
      <alignment horizontal="center" vertical="center"/>
    </xf>
    <xf numFmtId="164" fontId="17" fillId="0" borderId="48" xfId="0" applyNumberFormat="1" applyFont="1" applyBorder="1" applyAlignment="1">
      <alignment horizontal="center" vertical="center"/>
    </xf>
    <xf numFmtId="165" fontId="16" fillId="0" borderId="36" xfId="0" applyNumberFormat="1" applyFont="1" applyBorder="1" applyAlignment="1">
      <alignment horizontal="center" vertical="center"/>
    </xf>
    <xf numFmtId="165" fontId="16" fillId="0" borderId="30" xfId="0" applyNumberFormat="1" applyFont="1" applyBorder="1" applyAlignment="1">
      <alignment horizontal="center" vertical="center"/>
    </xf>
    <xf numFmtId="165" fontId="16" fillId="0" borderId="37" xfId="0" applyNumberFormat="1" applyFont="1" applyBorder="1" applyAlignment="1">
      <alignment horizontal="center" vertical="center"/>
    </xf>
    <xf numFmtId="164" fontId="16" fillId="0" borderId="36" xfId="0" applyNumberFormat="1" applyFont="1" applyBorder="1" applyAlignment="1">
      <alignment horizontal="center" vertical="center"/>
    </xf>
    <xf numFmtId="164" fontId="16" fillId="0" borderId="37" xfId="0" applyNumberFormat="1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5" fontId="14" fillId="0" borderId="27" xfId="0" applyNumberFormat="1" applyFont="1" applyBorder="1" applyAlignment="1">
      <alignment horizontal="center" vertical="center"/>
    </xf>
    <xf numFmtId="165" fontId="14" fillId="0" borderId="28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38C59BE8-E5DF-4C92-8841-95AE98270D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10/relationships/person" Target="persons/person0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10/relationships/person" Target="persons/pers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C3E46C-F40D-44CF-AEA0-883011B5B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5017" y="185200"/>
          <a:ext cx="1087342" cy="637098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AD75B44A-80CE-447D-B7D9-10F26117D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5017" y="1188952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26D08703-827A-4C63-B566-A772B296D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5017" y="235938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AE107708-A8E2-4DAA-AEC4-E7D895744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5017" y="35298160"/>
          <a:ext cx="1086679" cy="63610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4E1856-B419-4BCE-8A9D-8AA986CDE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90915"/>
          <a:ext cx="1056862" cy="639003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CB07EB44-C097-4621-81B6-531CA1BDA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18971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C12A5658-1419-4612-BF9D-5EDCF2A2B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23603365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ADBA4544-E092-4CB3-8B85-451EC8B5A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35309590"/>
          <a:ext cx="1086679" cy="63610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85EE73-A943-4512-B6CE-1DB2A32A8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90915"/>
          <a:ext cx="1056862" cy="639003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63BE8C5A-B480-4636-B878-D2B4AEBA4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18971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07A07A43-949D-44A4-9611-D65FB36BC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23603365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374C40B0-B42C-4188-87B4-BFFF80185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35309590"/>
          <a:ext cx="1086679" cy="63610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50693C-9DF1-4130-8FC2-84DFF5A53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90915"/>
          <a:ext cx="1056862" cy="639003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B0784A8B-6B74-4FBF-8ACD-A60E54E5B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18971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9EBB4EF9-1251-4AE5-9493-FEB461FDB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23603365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BB8856E1-21C6-46D4-858A-18884C895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35309590"/>
          <a:ext cx="1086679" cy="63610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61F28B-9D2B-482D-8AEB-DF750A725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90915"/>
          <a:ext cx="1056862" cy="639003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F4DCCD0D-9374-473B-9F6D-039308001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18971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0059B44A-D265-4656-B370-38EB92BCA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23603365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ABDD002A-0F00-4350-BB52-45CAF58BB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35309590"/>
          <a:ext cx="1086679" cy="63610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B0622F-3BA8-41E0-BF1A-50A6AFCC9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90915"/>
          <a:ext cx="1056862" cy="639003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F9D7239C-677B-42FA-A042-B002B2B29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18971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A63FE44A-1192-4D41-8FEB-57272FAEF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23603365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D19D21C1-88C6-4ECC-B5BF-B4EB49135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35309590"/>
          <a:ext cx="1086679" cy="636104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7D9A81-7D84-4812-9272-A81116A87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90915"/>
          <a:ext cx="1056862" cy="639003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20CDE49E-FB53-49A4-BEB1-99B6998E8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18971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5807B214-E51E-4FAF-8C4D-0441F58F6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23603365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58C760C6-7B1E-47FF-AD2A-D2449D581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35309590"/>
          <a:ext cx="1086679" cy="636104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E5BF8F-3C18-429A-B853-9172A0C07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90915"/>
          <a:ext cx="1056862" cy="639003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9F8D56D2-5293-4412-8090-29ABD461B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18971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0E34D7DC-E4F8-46B7-AD9D-4914E5F0F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23603365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CCE65AAC-906D-4F69-AC71-76E07BF15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35309590"/>
          <a:ext cx="1086679" cy="636104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203D3E-C792-45C9-926F-04C9C723E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90915"/>
          <a:ext cx="1056862" cy="639003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60C204D6-E58F-4031-BD69-9F06A156E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18971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34008800-B6AB-4F17-9361-F751D32D1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23603365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FA9064DE-EF5C-40C9-B921-A642C68D8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35309590"/>
          <a:ext cx="1086679" cy="636104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2B70D6-40DE-4846-BE57-B37A795DD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90915"/>
          <a:ext cx="1056862" cy="639003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8DA97703-3F33-4B31-8394-3A3179F1C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18971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989F2F40-5EC4-4A04-BFFE-323546D87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23603365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9837CDC1-8971-4060-BBE5-56AE26DFB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35309590"/>
          <a:ext cx="1086679" cy="636104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A1723-931A-462E-B7FC-442983D98E6F}">
  <sheetPr>
    <tabColor rgb="FF00B050"/>
  </sheetPr>
  <dimension ref="A1:Y168"/>
  <sheetViews>
    <sheetView view="pageBreakPreview" zoomScaleNormal="100" zoomScaleSheetLayoutView="100" workbookViewId="0">
      <selection activeCell="L7" sqref="L7:P7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37"/>
      <c r="B2" s="37"/>
      <c r="C2" s="37"/>
      <c r="D2" s="38" t="s">
        <v>27</v>
      </c>
      <c r="E2" s="38"/>
      <c r="F2" s="38"/>
      <c r="G2" s="38"/>
      <c r="H2" s="38"/>
      <c r="I2" s="38"/>
      <c r="J2" s="38"/>
      <c r="K2" s="38"/>
      <c r="L2" s="38"/>
      <c r="M2" s="39" t="s">
        <v>26</v>
      </c>
      <c r="N2" s="39"/>
      <c r="O2" s="39"/>
      <c r="P2" s="39"/>
      <c r="Q2" s="10"/>
    </row>
    <row r="3" spans="1:25" ht="22.15" customHeight="1" x14ac:dyDescent="0.25">
      <c r="A3" s="37"/>
      <c r="B3" s="37"/>
      <c r="C3" s="37"/>
      <c r="D3" s="38"/>
      <c r="E3" s="38"/>
      <c r="F3" s="38"/>
      <c r="G3" s="38"/>
      <c r="H3" s="38"/>
      <c r="I3" s="38"/>
      <c r="J3" s="38"/>
      <c r="K3" s="38"/>
      <c r="L3" s="38"/>
      <c r="M3" s="39"/>
      <c r="N3" s="39"/>
      <c r="O3" s="39"/>
      <c r="P3" s="39"/>
      <c r="Q3" s="10"/>
    </row>
    <row r="4" spans="1:25" ht="17.45" customHeight="1" x14ac:dyDescent="0.25">
      <c r="A4" s="40"/>
      <c r="B4" s="40"/>
      <c r="C4" s="40"/>
      <c r="D4" s="41" t="s">
        <v>21</v>
      </c>
      <c r="E4" s="41"/>
      <c r="F4" s="41"/>
      <c r="G4" s="41"/>
      <c r="H4" s="41"/>
      <c r="I4" s="41"/>
      <c r="J4" s="41"/>
      <c r="K4" s="41"/>
      <c r="L4" s="41"/>
      <c r="M4" s="11"/>
    </row>
    <row r="5" spans="1:25" ht="22.15" customHeight="1" thickBot="1" x14ac:dyDescent="0.35">
      <c r="A5" s="42"/>
      <c r="B5" s="42"/>
      <c r="C5" s="1"/>
      <c r="D5" s="43" t="s">
        <v>89</v>
      </c>
      <c r="E5" s="43"/>
      <c r="F5" s="43"/>
      <c r="G5" s="43"/>
      <c r="H5" s="43"/>
      <c r="I5" s="43"/>
      <c r="J5" s="43"/>
      <c r="K5" s="43"/>
      <c r="L5" s="43"/>
      <c r="M5" s="2"/>
      <c r="N5" s="37"/>
      <c r="O5" s="37"/>
      <c r="P5" s="37"/>
    </row>
    <row r="6" spans="1:25" ht="15.6" customHeight="1" thickBot="1" x14ac:dyDescent="0.35">
      <c r="A6" s="71" t="s">
        <v>9</v>
      </c>
      <c r="B6" s="72"/>
      <c r="C6" s="73" t="s">
        <v>114</v>
      </c>
      <c r="D6" s="73"/>
      <c r="E6" s="73"/>
      <c r="F6" s="74"/>
      <c r="G6" s="2"/>
      <c r="H6" s="75" t="s">
        <v>4</v>
      </c>
      <c r="I6" s="76"/>
      <c r="J6" s="76"/>
      <c r="K6" s="8" t="s">
        <v>7</v>
      </c>
      <c r="L6" s="77" t="s">
        <v>290</v>
      </c>
      <c r="M6" s="77"/>
      <c r="N6" s="77"/>
      <c r="O6" s="77"/>
      <c r="P6" s="78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52" t="s">
        <v>5</v>
      </c>
      <c r="I7" s="53"/>
      <c r="J7" s="53"/>
      <c r="K7" s="9" t="s">
        <v>7</v>
      </c>
      <c r="L7" s="79">
        <v>45687</v>
      </c>
      <c r="M7" s="79"/>
      <c r="N7" s="79"/>
      <c r="O7" s="79"/>
      <c r="P7" s="80"/>
      <c r="R7" s="28">
        <v>1</v>
      </c>
      <c r="S7" s="28" t="s">
        <v>39</v>
      </c>
      <c r="T7" s="29" t="s">
        <v>33</v>
      </c>
      <c r="U7" s="17" t="s">
        <v>29</v>
      </c>
      <c r="V7" s="44" t="s">
        <v>47</v>
      </c>
      <c r="W7" t="s">
        <v>54</v>
      </c>
    </row>
    <row r="8" spans="1:25" ht="18" customHeight="1" x14ac:dyDescent="0.3">
      <c r="A8" s="46" t="s">
        <v>123</v>
      </c>
      <c r="B8" s="47"/>
      <c r="C8" s="47"/>
      <c r="D8" s="47"/>
      <c r="E8" s="47"/>
      <c r="F8" s="48"/>
      <c r="G8" s="2"/>
      <c r="H8" s="52" t="s">
        <v>8</v>
      </c>
      <c r="I8" s="53"/>
      <c r="J8" s="53"/>
      <c r="K8" s="9" t="s">
        <v>7</v>
      </c>
      <c r="L8" s="54" t="s">
        <v>29</v>
      </c>
      <c r="M8" s="54"/>
      <c r="N8" s="54"/>
      <c r="O8" s="54"/>
      <c r="P8" s="55"/>
      <c r="R8" s="28">
        <v>2</v>
      </c>
      <c r="S8" s="28" t="s">
        <v>40</v>
      </c>
      <c r="T8" s="29" t="s">
        <v>99</v>
      </c>
      <c r="U8" s="17" t="s">
        <v>30</v>
      </c>
      <c r="V8" s="45"/>
      <c r="W8" t="s">
        <v>55</v>
      </c>
    </row>
    <row r="9" spans="1:25" ht="17.45" customHeight="1" x14ac:dyDescent="0.3">
      <c r="A9" s="46"/>
      <c r="B9" s="47"/>
      <c r="C9" s="47"/>
      <c r="D9" s="47"/>
      <c r="E9" s="47"/>
      <c r="F9" s="48"/>
      <c r="G9" s="2"/>
      <c r="H9" s="56" t="s">
        <v>6</v>
      </c>
      <c r="I9" s="57"/>
      <c r="J9" s="57"/>
      <c r="K9" s="62" t="s">
        <v>7</v>
      </c>
      <c r="L9" s="65" t="s">
        <v>52</v>
      </c>
      <c r="M9" s="65"/>
      <c r="N9" s="65"/>
      <c r="O9" s="65"/>
      <c r="P9" s="66"/>
      <c r="R9" s="28">
        <v>3</v>
      </c>
      <c r="S9" s="28" t="s">
        <v>41</v>
      </c>
      <c r="T9" s="29" t="s">
        <v>100</v>
      </c>
      <c r="U9" s="17" t="s">
        <v>31</v>
      </c>
      <c r="V9" s="45"/>
      <c r="W9" t="s">
        <v>56</v>
      </c>
    </row>
    <row r="10" spans="1:25" ht="18" customHeight="1" thickBot="1" x14ac:dyDescent="0.35">
      <c r="A10" s="49"/>
      <c r="B10" s="50"/>
      <c r="C10" s="50"/>
      <c r="D10" s="50"/>
      <c r="E10" s="50"/>
      <c r="F10" s="51"/>
      <c r="G10" s="2"/>
      <c r="H10" s="58"/>
      <c r="I10" s="59"/>
      <c r="J10" s="59"/>
      <c r="K10" s="63"/>
      <c r="L10" s="67"/>
      <c r="M10" s="67"/>
      <c r="N10" s="67"/>
      <c r="O10" s="67"/>
      <c r="P10" s="68"/>
      <c r="R10" s="28">
        <v>4</v>
      </c>
      <c r="S10" s="28" t="s">
        <v>42</v>
      </c>
      <c r="T10" s="30" t="s">
        <v>34</v>
      </c>
      <c r="U10" s="17"/>
      <c r="V10" s="44" t="s">
        <v>48</v>
      </c>
      <c r="W10" t="s">
        <v>57</v>
      </c>
    </row>
    <row r="11" spans="1:25" ht="18" customHeight="1" thickBot="1" x14ac:dyDescent="0.35">
      <c r="A11" s="42"/>
      <c r="B11" s="42"/>
      <c r="C11" s="1"/>
      <c r="D11" s="2"/>
      <c r="E11" s="2"/>
      <c r="F11" s="2"/>
      <c r="G11" s="2"/>
      <c r="H11" s="60"/>
      <c r="I11" s="61"/>
      <c r="J11" s="61"/>
      <c r="K11" s="64"/>
      <c r="L11" s="69"/>
      <c r="M11" s="69"/>
      <c r="N11" s="69"/>
      <c r="O11" s="69"/>
      <c r="P11" s="70"/>
      <c r="R11" s="28">
        <v>5</v>
      </c>
      <c r="S11" s="28" t="s">
        <v>43</v>
      </c>
      <c r="T11" s="30" t="s">
        <v>35</v>
      </c>
      <c r="U11" s="17"/>
      <c r="V11" s="45"/>
      <c r="W11" t="s">
        <v>58</v>
      </c>
    </row>
    <row r="12" spans="1:25" ht="16.149999999999999" customHeight="1" x14ac:dyDescent="0.25">
      <c r="A12" s="103" t="s">
        <v>12</v>
      </c>
      <c r="B12" s="104"/>
      <c r="C12" s="105" t="s">
        <v>0</v>
      </c>
      <c r="D12" s="105"/>
      <c r="E12" s="105"/>
      <c r="F12" s="105"/>
      <c r="G12" s="105"/>
      <c r="H12" s="81" t="s">
        <v>1</v>
      </c>
      <c r="I12" s="82"/>
      <c r="J12" s="82"/>
      <c r="K12" s="82"/>
      <c r="L12" s="83"/>
      <c r="M12" s="84" t="s">
        <v>16</v>
      </c>
      <c r="N12" s="85"/>
      <c r="O12" s="86"/>
      <c r="P12" s="93" t="s">
        <v>3</v>
      </c>
      <c r="R12" s="28">
        <v>6</v>
      </c>
      <c r="S12" s="28" t="s">
        <v>44</v>
      </c>
      <c r="T12" s="30" t="s">
        <v>36</v>
      </c>
      <c r="U12" s="17"/>
      <c r="V12" s="45"/>
      <c r="W12" t="s">
        <v>67</v>
      </c>
    </row>
    <row r="13" spans="1:25" ht="16.149999999999999" customHeight="1" x14ac:dyDescent="0.25">
      <c r="A13" s="3" t="s">
        <v>13</v>
      </c>
      <c r="B13" s="33">
        <v>1</v>
      </c>
      <c r="C13" s="96" t="s">
        <v>14</v>
      </c>
      <c r="D13" s="96"/>
      <c r="E13" s="96"/>
      <c r="F13" s="96"/>
      <c r="G13" s="96"/>
      <c r="H13" s="97" t="s">
        <v>2</v>
      </c>
      <c r="I13" s="98"/>
      <c r="J13" s="99"/>
      <c r="K13" s="97" t="s">
        <v>15</v>
      </c>
      <c r="L13" s="99"/>
      <c r="M13" s="87"/>
      <c r="N13" s="88"/>
      <c r="O13" s="89"/>
      <c r="P13" s="94"/>
      <c r="R13" s="28">
        <v>7</v>
      </c>
      <c r="S13" s="28" t="s">
        <v>45</v>
      </c>
      <c r="T13" s="30" t="s">
        <v>37</v>
      </c>
      <c r="U13" s="12"/>
      <c r="V13" s="44" t="s">
        <v>49</v>
      </c>
      <c r="W13" t="s">
        <v>59</v>
      </c>
    </row>
    <row r="14" spans="1:25" ht="16.149999999999999" customHeight="1" thickBot="1" x14ac:dyDescent="0.3">
      <c r="A14" s="113" t="s">
        <v>11</v>
      </c>
      <c r="B14" s="114"/>
      <c r="C14" s="115" t="s">
        <v>66</v>
      </c>
      <c r="D14" s="116"/>
      <c r="E14" s="117" t="s">
        <v>88</v>
      </c>
      <c r="F14" s="118"/>
      <c r="G14" s="114"/>
      <c r="H14" s="100"/>
      <c r="I14" s="101"/>
      <c r="J14" s="102"/>
      <c r="K14" s="100"/>
      <c r="L14" s="102"/>
      <c r="M14" s="90"/>
      <c r="N14" s="91"/>
      <c r="O14" s="92"/>
      <c r="P14" s="95"/>
      <c r="R14" s="28">
        <v>8</v>
      </c>
      <c r="S14" s="28" t="s">
        <v>46</v>
      </c>
      <c r="T14" s="30" t="s">
        <v>38</v>
      </c>
      <c r="U14" s="12"/>
      <c r="V14" s="45"/>
      <c r="W14" t="s">
        <v>60</v>
      </c>
    </row>
    <row r="15" spans="1:25" ht="25.15" customHeight="1" x14ac:dyDescent="0.25">
      <c r="A15" s="31"/>
      <c r="B15" s="119"/>
      <c r="C15" s="119"/>
      <c r="D15" s="119"/>
      <c r="E15" s="119"/>
      <c r="F15" s="119"/>
      <c r="G15" s="119"/>
      <c r="H15" s="120"/>
      <c r="I15" s="121"/>
      <c r="J15" s="122"/>
      <c r="K15" s="123"/>
      <c r="L15" s="124"/>
      <c r="M15" s="106"/>
      <c r="N15" s="107"/>
      <c r="O15" s="108"/>
      <c r="P15" s="34" t="s">
        <v>289</v>
      </c>
      <c r="R15" s="28">
        <v>9</v>
      </c>
      <c r="S15" s="28" t="s">
        <v>96</v>
      </c>
      <c r="T15" s="30" t="s">
        <v>93</v>
      </c>
      <c r="U15" s="12"/>
      <c r="V15" s="45"/>
      <c r="W15" t="s">
        <v>61</v>
      </c>
    </row>
    <row r="16" spans="1:25" ht="25.15" customHeight="1" x14ac:dyDescent="0.25">
      <c r="A16" s="32"/>
      <c r="B16" s="109" t="s">
        <v>126</v>
      </c>
      <c r="C16" s="109"/>
      <c r="D16" s="109"/>
      <c r="E16" s="109"/>
      <c r="F16" s="109"/>
      <c r="G16" s="109"/>
      <c r="H16" s="110">
        <v>1</v>
      </c>
      <c r="I16" s="110"/>
      <c r="J16" s="110"/>
      <c r="K16" s="111">
        <v>36</v>
      </c>
      <c r="L16" s="111"/>
      <c r="M16" s="112" t="s">
        <v>127</v>
      </c>
      <c r="N16" s="112"/>
      <c r="O16" s="112"/>
      <c r="P16" s="35" t="s">
        <v>280</v>
      </c>
      <c r="R16" s="28">
        <v>10</v>
      </c>
      <c r="S16" s="28" t="s">
        <v>98</v>
      </c>
      <c r="T16" s="30" t="s">
        <v>94</v>
      </c>
      <c r="U16" s="12"/>
      <c r="V16" s="44" t="s">
        <v>50</v>
      </c>
      <c r="W16" t="s">
        <v>62</v>
      </c>
    </row>
    <row r="17" spans="1:23" ht="25.15" customHeight="1" x14ac:dyDescent="0.25">
      <c r="A17" s="32"/>
      <c r="B17" s="109" t="s">
        <v>128</v>
      </c>
      <c r="C17" s="109"/>
      <c r="D17" s="109"/>
      <c r="E17" s="109"/>
      <c r="F17" s="109"/>
      <c r="G17" s="109"/>
      <c r="H17" s="110">
        <v>2</v>
      </c>
      <c r="I17" s="110"/>
      <c r="J17" s="110"/>
      <c r="K17" s="111">
        <v>153</v>
      </c>
      <c r="L17" s="111"/>
      <c r="M17" s="112" t="s">
        <v>129</v>
      </c>
      <c r="N17" s="112"/>
      <c r="O17" s="112"/>
      <c r="P17" s="35"/>
      <c r="R17" s="28">
        <v>11</v>
      </c>
      <c r="S17" s="28" t="s">
        <v>97</v>
      </c>
      <c r="T17" s="30" t="s">
        <v>95</v>
      </c>
      <c r="U17" s="12"/>
      <c r="V17" s="45"/>
      <c r="W17" t="s">
        <v>63</v>
      </c>
    </row>
    <row r="18" spans="1:23" ht="25.15" customHeight="1" x14ac:dyDescent="0.25">
      <c r="A18" s="32"/>
      <c r="B18" s="109" t="s">
        <v>130</v>
      </c>
      <c r="C18" s="109"/>
      <c r="D18" s="109"/>
      <c r="E18" s="109"/>
      <c r="F18" s="109"/>
      <c r="G18" s="109"/>
      <c r="H18" s="110">
        <v>49</v>
      </c>
      <c r="I18" s="110"/>
      <c r="J18" s="110"/>
      <c r="K18" s="111">
        <v>3685</v>
      </c>
      <c r="L18" s="111"/>
      <c r="M18" s="112" t="s">
        <v>131</v>
      </c>
      <c r="N18" s="112"/>
      <c r="O18" s="112"/>
      <c r="P18" s="35"/>
      <c r="R18" s="28">
        <v>12</v>
      </c>
      <c r="S18" s="28" t="s">
        <v>101</v>
      </c>
      <c r="T18" s="30" t="s">
        <v>102</v>
      </c>
      <c r="U18" s="12"/>
      <c r="V18" s="45"/>
      <c r="W18" t="s">
        <v>64</v>
      </c>
    </row>
    <row r="19" spans="1:23" ht="25.15" customHeight="1" x14ac:dyDescent="0.25">
      <c r="A19" s="32"/>
      <c r="B19" s="109" t="s">
        <v>132</v>
      </c>
      <c r="C19" s="109"/>
      <c r="D19" s="109"/>
      <c r="E19" s="109"/>
      <c r="F19" s="109"/>
      <c r="G19" s="109"/>
      <c r="H19" s="110">
        <v>2</v>
      </c>
      <c r="I19" s="110"/>
      <c r="J19" s="110"/>
      <c r="K19" s="111">
        <v>145</v>
      </c>
      <c r="L19" s="111"/>
      <c r="M19" s="112" t="s">
        <v>127</v>
      </c>
      <c r="N19" s="112"/>
      <c r="O19" s="112"/>
      <c r="P19" s="35"/>
      <c r="R19" s="28">
        <v>13</v>
      </c>
      <c r="S19" s="28" t="s">
        <v>104</v>
      </c>
      <c r="T19" s="30" t="s">
        <v>103</v>
      </c>
      <c r="U19" s="12"/>
      <c r="V19" s="44" t="s">
        <v>51</v>
      </c>
      <c r="W19" t="s">
        <v>65</v>
      </c>
    </row>
    <row r="20" spans="1:23" ht="25.15" customHeight="1" x14ac:dyDescent="0.25">
      <c r="A20" s="32"/>
      <c r="B20" s="109" t="s">
        <v>133</v>
      </c>
      <c r="C20" s="109"/>
      <c r="D20" s="109"/>
      <c r="E20" s="109"/>
      <c r="F20" s="109"/>
      <c r="G20" s="109"/>
      <c r="H20" s="110">
        <v>133</v>
      </c>
      <c r="I20" s="110"/>
      <c r="J20" s="110"/>
      <c r="K20" s="111">
        <v>11089</v>
      </c>
      <c r="L20" s="111"/>
      <c r="M20" s="125" t="s">
        <v>134</v>
      </c>
      <c r="N20" s="112"/>
      <c r="O20" s="112"/>
      <c r="P20" s="35"/>
      <c r="R20" s="28">
        <v>14</v>
      </c>
      <c r="S20" s="28" t="s">
        <v>105</v>
      </c>
      <c r="T20" s="30" t="s">
        <v>106</v>
      </c>
      <c r="U20" s="12"/>
      <c r="V20" s="45"/>
      <c r="W20" t="s">
        <v>66</v>
      </c>
    </row>
    <row r="21" spans="1:23" ht="25.15" customHeight="1" x14ac:dyDescent="0.25">
      <c r="A21" s="32"/>
      <c r="B21" s="109" t="s">
        <v>135</v>
      </c>
      <c r="C21" s="109"/>
      <c r="D21" s="109"/>
      <c r="E21" s="109"/>
      <c r="F21" s="109"/>
      <c r="G21" s="109"/>
      <c r="H21" s="110">
        <v>1</v>
      </c>
      <c r="I21" s="110"/>
      <c r="J21" s="110"/>
      <c r="K21" s="111">
        <v>76</v>
      </c>
      <c r="L21" s="111"/>
      <c r="M21" s="112" t="s">
        <v>136</v>
      </c>
      <c r="N21" s="112"/>
      <c r="O21" s="112"/>
      <c r="P21" s="35"/>
      <c r="R21" s="28">
        <v>15</v>
      </c>
      <c r="S21" s="28" t="s">
        <v>108</v>
      </c>
      <c r="T21" s="30" t="s">
        <v>107</v>
      </c>
      <c r="U21" s="12"/>
      <c r="V21" s="45"/>
      <c r="W21" t="s">
        <v>68</v>
      </c>
    </row>
    <row r="22" spans="1:23" ht="25.15" customHeight="1" x14ac:dyDescent="0.25">
      <c r="A22" s="32"/>
      <c r="B22" s="109" t="s">
        <v>137</v>
      </c>
      <c r="C22" s="109"/>
      <c r="D22" s="109"/>
      <c r="E22" s="109"/>
      <c r="F22" s="109"/>
      <c r="G22" s="109"/>
      <c r="H22" s="110">
        <v>49</v>
      </c>
      <c r="I22" s="110"/>
      <c r="J22" s="110"/>
      <c r="K22" s="111">
        <v>2489</v>
      </c>
      <c r="L22" s="111"/>
      <c r="M22" s="112" t="s">
        <v>138</v>
      </c>
      <c r="N22" s="112"/>
      <c r="O22" s="112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09" t="s">
        <v>139</v>
      </c>
      <c r="C23" s="109"/>
      <c r="D23" s="109"/>
      <c r="E23" s="109"/>
      <c r="F23" s="109"/>
      <c r="G23" s="109"/>
      <c r="H23" s="110">
        <v>12</v>
      </c>
      <c r="I23" s="110"/>
      <c r="J23" s="110"/>
      <c r="K23" s="111">
        <v>698</v>
      </c>
      <c r="L23" s="111"/>
      <c r="M23" s="112" t="s">
        <v>125</v>
      </c>
      <c r="N23" s="112"/>
      <c r="O23" s="112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09" t="s">
        <v>140</v>
      </c>
      <c r="C24" s="109"/>
      <c r="D24" s="109"/>
      <c r="E24" s="109"/>
      <c r="F24" s="109"/>
      <c r="G24" s="109"/>
      <c r="H24" s="110">
        <v>1</v>
      </c>
      <c r="I24" s="110"/>
      <c r="J24" s="110"/>
      <c r="K24" s="111">
        <v>50</v>
      </c>
      <c r="L24" s="111"/>
      <c r="M24" s="112" t="s">
        <v>127</v>
      </c>
      <c r="N24" s="112"/>
      <c r="O24" s="112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09" t="s">
        <v>141</v>
      </c>
      <c r="C25" s="109"/>
      <c r="D25" s="109"/>
      <c r="E25" s="109"/>
      <c r="F25" s="109"/>
      <c r="G25" s="109"/>
      <c r="H25" s="110">
        <v>15</v>
      </c>
      <c r="I25" s="110"/>
      <c r="J25" s="110"/>
      <c r="K25" s="111">
        <v>1014</v>
      </c>
      <c r="L25" s="111"/>
      <c r="M25" s="112" t="s">
        <v>142</v>
      </c>
      <c r="N25" s="112"/>
      <c r="O25" s="112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09" t="s">
        <v>143</v>
      </c>
      <c r="C26" s="109"/>
      <c r="D26" s="109"/>
      <c r="E26" s="109"/>
      <c r="F26" s="109"/>
      <c r="G26" s="109"/>
      <c r="H26" s="110">
        <v>1</v>
      </c>
      <c r="I26" s="110"/>
      <c r="J26" s="110"/>
      <c r="K26" s="111">
        <v>10</v>
      </c>
      <c r="L26" s="111"/>
      <c r="M26" s="112" t="s">
        <v>129</v>
      </c>
      <c r="N26" s="112"/>
      <c r="O26" s="112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09" t="s">
        <v>144</v>
      </c>
      <c r="C27" s="109"/>
      <c r="D27" s="109"/>
      <c r="E27" s="109"/>
      <c r="F27" s="109"/>
      <c r="G27" s="109"/>
      <c r="H27" s="110">
        <v>1</v>
      </c>
      <c r="I27" s="110"/>
      <c r="J27" s="110"/>
      <c r="K27" s="111">
        <v>18</v>
      </c>
      <c r="L27" s="111"/>
      <c r="M27" s="112" t="s">
        <v>127</v>
      </c>
      <c r="N27" s="112"/>
      <c r="O27" s="112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09" t="s">
        <v>145</v>
      </c>
      <c r="C28" s="109"/>
      <c r="D28" s="109"/>
      <c r="E28" s="109"/>
      <c r="F28" s="109"/>
      <c r="G28" s="109"/>
      <c r="H28" s="110">
        <v>10</v>
      </c>
      <c r="I28" s="110"/>
      <c r="J28" s="110"/>
      <c r="K28" s="111">
        <v>654</v>
      </c>
      <c r="L28" s="111"/>
      <c r="M28" s="112" t="s">
        <v>125</v>
      </c>
      <c r="N28" s="112"/>
      <c r="O28" s="112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09" t="s">
        <v>146</v>
      </c>
      <c r="C29" s="109"/>
      <c r="D29" s="109"/>
      <c r="E29" s="109"/>
      <c r="F29" s="109"/>
      <c r="G29" s="109"/>
      <c r="H29" s="110">
        <v>9</v>
      </c>
      <c r="I29" s="110"/>
      <c r="J29" s="110"/>
      <c r="K29" s="111">
        <v>735</v>
      </c>
      <c r="L29" s="111"/>
      <c r="M29" s="112" t="s">
        <v>147</v>
      </c>
      <c r="N29" s="112"/>
      <c r="O29" s="112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09"/>
      <c r="C30" s="109"/>
      <c r="D30" s="109"/>
      <c r="E30" s="109"/>
      <c r="F30" s="109"/>
      <c r="G30" s="109"/>
      <c r="H30" s="110"/>
      <c r="I30" s="110"/>
      <c r="J30" s="110"/>
      <c r="K30" s="111"/>
      <c r="L30" s="111"/>
      <c r="M30" s="112"/>
      <c r="N30" s="112"/>
      <c r="O30" s="112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09"/>
      <c r="C31" s="109"/>
      <c r="D31" s="109"/>
      <c r="E31" s="109"/>
      <c r="F31" s="109"/>
      <c r="G31" s="109"/>
      <c r="H31" s="110"/>
      <c r="I31" s="110"/>
      <c r="J31" s="110"/>
      <c r="K31" s="111"/>
      <c r="L31" s="111"/>
      <c r="M31" s="112"/>
      <c r="N31" s="112"/>
      <c r="O31" s="112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09"/>
      <c r="C32" s="109"/>
      <c r="D32" s="109"/>
      <c r="E32" s="109"/>
      <c r="F32" s="109"/>
      <c r="G32" s="109"/>
      <c r="H32" s="110"/>
      <c r="I32" s="110"/>
      <c r="J32" s="110"/>
      <c r="K32" s="111"/>
      <c r="L32" s="111"/>
      <c r="M32" s="112"/>
      <c r="N32" s="112"/>
      <c r="O32" s="112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09"/>
      <c r="C33" s="109"/>
      <c r="D33" s="109"/>
      <c r="E33" s="109"/>
      <c r="F33" s="109"/>
      <c r="G33" s="109"/>
      <c r="H33" s="110"/>
      <c r="I33" s="110"/>
      <c r="J33" s="110"/>
      <c r="K33" s="111"/>
      <c r="L33" s="111"/>
      <c r="M33" s="112"/>
      <c r="N33" s="112"/>
      <c r="O33" s="112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09"/>
      <c r="C34" s="109"/>
      <c r="D34" s="109"/>
      <c r="E34" s="109"/>
      <c r="F34" s="109"/>
      <c r="G34" s="109"/>
      <c r="H34" s="110"/>
      <c r="I34" s="110"/>
      <c r="J34" s="110"/>
      <c r="K34" s="111"/>
      <c r="L34" s="111"/>
      <c r="M34" s="112"/>
      <c r="N34" s="112"/>
      <c r="O34" s="112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26" t="s">
        <v>17</v>
      </c>
      <c r="B35" s="127"/>
      <c r="C35" s="127"/>
      <c r="D35" s="127"/>
      <c r="E35" s="127"/>
      <c r="F35" s="127"/>
      <c r="G35" s="116"/>
      <c r="H35" s="128">
        <f>SUM(H15:J34)</f>
        <v>286</v>
      </c>
      <c r="I35" s="129"/>
      <c r="J35" s="130"/>
      <c r="K35" s="131">
        <f>SUM(K15:L34)</f>
        <v>20852</v>
      </c>
      <c r="L35" s="132"/>
      <c r="M35" s="133"/>
      <c r="N35" s="134"/>
      <c r="O35" s="135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37" t="s">
        <v>22</v>
      </c>
      <c r="B37" s="138"/>
      <c r="C37" s="138"/>
      <c r="D37" s="139" t="s">
        <v>288</v>
      </c>
      <c r="E37" s="139"/>
      <c r="F37" s="139"/>
      <c r="G37" s="138" t="s">
        <v>23</v>
      </c>
      <c r="H37" s="138"/>
      <c r="I37" s="138"/>
      <c r="J37" s="138"/>
      <c r="K37" s="138"/>
      <c r="L37" s="138"/>
      <c r="M37" s="140" t="s">
        <v>287</v>
      </c>
      <c r="N37" s="140"/>
      <c r="O37" s="140"/>
      <c r="P37" s="141"/>
      <c r="R37" s="23"/>
      <c r="S37" s="24"/>
      <c r="T37" s="21"/>
      <c r="W37" t="s">
        <v>84</v>
      </c>
    </row>
    <row r="38" spans="1:23" ht="31.9" customHeight="1" x14ac:dyDescent="0.25">
      <c r="A38" s="142" t="s">
        <v>24</v>
      </c>
      <c r="B38" s="143"/>
      <c r="C38" s="143"/>
      <c r="D38" s="144">
        <v>20597109</v>
      </c>
      <c r="E38" s="144"/>
      <c r="F38" s="144"/>
      <c r="G38" s="143" t="s">
        <v>25</v>
      </c>
      <c r="H38" s="143"/>
      <c r="I38" s="143"/>
      <c r="J38" s="143"/>
      <c r="K38" s="143"/>
      <c r="L38" s="143"/>
      <c r="M38" s="145" t="s">
        <v>286</v>
      </c>
      <c r="N38" s="145"/>
      <c r="O38" s="145"/>
      <c r="P38" s="146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36" t="s">
        <v>18</v>
      </c>
      <c r="B40" s="136"/>
      <c r="C40" s="136"/>
      <c r="D40" s="4"/>
      <c r="E40" s="4"/>
      <c r="F40" s="136" t="s">
        <v>19</v>
      </c>
      <c r="G40" s="136"/>
      <c r="H40" s="6"/>
      <c r="I40" s="6"/>
      <c r="J40" s="6"/>
      <c r="K40" s="4"/>
      <c r="L40" s="136" t="s">
        <v>20</v>
      </c>
      <c r="M40" s="136"/>
      <c r="N40" s="136"/>
      <c r="O40" s="136"/>
      <c r="P40" s="136"/>
      <c r="W40" t="s">
        <v>87</v>
      </c>
    </row>
    <row r="41" spans="1:23" ht="8.25" customHeight="1" x14ac:dyDescent="0.25"/>
    <row r="42" spans="1:23" ht="36.75" customHeight="1" x14ac:dyDescent="0.25">
      <c r="A42" s="37"/>
      <c r="B42" s="37"/>
      <c r="C42" s="37"/>
      <c r="D42" s="38" t="s">
        <v>27</v>
      </c>
      <c r="E42" s="38"/>
      <c r="F42" s="38"/>
      <c r="G42" s="38"/>
      <c r="H42" s="38"/>
      <c r="I42" s="38"/>
      <c r="J42" s="38"/>
      <c r="K42" s="38"/>
      <c r="L42" s="38"/>
      <c r="M42" s="39" t="str">
        <f>M2</f>
        <v>FORM STR 03
REVISION NO 01</v>
      </c>
      <c r="N42" s="39"/>
      <c r="O42" s="39"/>
      <c r="P42" s="39"/>
      <c r="Q42" s="10"/>
      <c r="W42" t="s">
        <v>111</v>
      </c>
    </row>
    <row r="43" spans="1:23" ht="22.15" customHeight="1" x14ac:dyDescent="0.25">
      <c r="A43" s="37"/>
      <c r="B43" s="37"/>
      <c r="C43" s="37"/>
      <c r="D43" s="38"/>
      <c r="E43" s="38"/>
      <c r="F43" s="38"/>
      <c r="G43" s="38"/>
      <c r="H43" s="38"/>
      <c r="I43" s="38"/>
      <c r="J43" s="38"/>
      <c r="K43" s="38"/>
      <c r="L43" s="38"/>
      <c r="M43" s="39"/>
      <c r="N43" s="39"/>
      <c r="O43" s="39"/>
      <c r="P43" s="39"/>
      <c r="Q43" s="10"/>
    </row>
    <row r="44" spans="1:23" ht="17.45" customHeight="1" x14ac:dyDescent="0.25">
      <c r="A44" s="40"/>
      <c r="B44" s="40"/>
      <c r="C44" s="40"/>
      <c r="D44" s="41" t="s">
        <v>21</v>
      </c>
      <c r="E44" s="41"/>
      <c r="F44" s="41"/>
      <c r="G44" s="41"/>
      <c r="H44" s="41"/>
      <c r="I44" s="41"/>
      <c r="J44" s="41"/>
      <c r="K44" s="41"/>
      <c r="L44" s="41"/>
      <c r="M44" s="11"/>
    </row>
    <row r="45" spans="1:23" ht="22.15" customHeight="1" thickBot="1" x14ac:dyDescent="0.35">
      <c r="A45" s="42"/>
      <c r="B45" s="42"/>
      <c r="C45" s="1"/>
      <c r="D45" s="43" t="s">
        <v>90</v>
      </c>
      <c r="E45" s="43"/>
      <c r="F45" s="43"/>
      <c r="G45" s="43"/>
      <c r="H45" s="43"/>
      <c r="I45" s="43"/>
      <c r="J45" s="43"/>
      <c r="K45" s="43"/>
      <c r="L45" s="43"/>
      <c r="M45" s="2"/>
      <c r="N45" s="37"/>
      <c r="O45" s="37"/>
      <c r="P45" s="37"/>
    </row>
    <row r="46" spans="1:23" ht="15.6" customHeight="1" thickBot="1" x14ac:dyDescent="0.35">
      <c r="A46" s="71" t="s">
        <v>9</v>
      </c>
      <c r="B46" s="72"/>
      <c r="C46" s="73" t="str">
        <f>C6</f>
        <v>O535</v>
      </c>
      <c r="D46" s="73"/>
      <c r="E46" s="73"/>
      <c r="F46" s="74"/>
      <c r="G46" s="2"/>
      <c r="H46" s="75" t="s">
        <v>4</v>
      </c>
      <c r="I46" s="76"/>
      <c r="J46" s="76"/>
      <c r="K46" s="8" t="s">
        <v>7</v>
      </c>
      <c r="L46" s="77" t="str">
        <f>L6</f>
        <v>JP 523806</v>
      </c>
      <c r="M46" s="77"/>
      <c r="N46" s="77"/>
      <c r="O46" s="77"/>
      <c r="P46" s="78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52" t="s">
        <v>5</v>
      </c>
      <c r="I47" s="53"/>
      <c r="J47" s="53"/>
      <c r="K47" s="9" t="s">
        <v>7</v>
      </c>
      <c r="L47" s="79">
        <f>L7</f>
        <v>45687</v>
      </c>
      <c r="M47" s="79"/>
      <c r="N47" s="79"/>
      <c r="O47" s="79"/>
      <c r="P47" s="80"/>
      <c r="R47" s="88"/>
      <c r="S47" s="88"/>
      <c r="T47" s="147"/>
      <c r="U47" s="26"/>
      <c r="V47" s="147"/>
    </row>
    <row r="48" spans="1:23" ht="18" customHeight="1" x14ac:dyDescent="0.3">
      <c r="A48" s="46" t="str">
        <f>A8</f>
        <v>Vertex Off-Dock Logistics Services Ltd.
1443/1509, Old Airport Road, Katghar, North Patenga,
Chattogram 4204, Bangladesh.</v>
      </c>
      <c r="B48" s="47"/>
      <c r="C48" s="47"/>
      <c r="D48" s="47"/>
      <c r="E48" s="47"/>
      <c r="F48" s="48"/>
      <c r="G48" s="2"/>
      <c r="H48" s="52" t="s">
        <v>8</v>
      </c>
      <c r="I48" s="53"/>
      <c r="J48" s="53"/>
      <c r="K48" s="9" t="s">
        <v>7</v>
      </c>
      <c r="L48" s="54" t="str">
        <f>L8</f>
        <v>SEA</v>
      </c>
      <c r="M48" s="54"/>
      <c r="N48" s="54"/>
      <c r="O48" s="54"/>
      <c r="P48" s="55"/>
      <c r="R48" s="88"/>
      <c r="S48" s="88"/>
      <c r="T48" s="148"/>
      <c r="U48" s="26"/>
      <c r="V48" s="148"/>
    </row>
    <row r="49" spans="1:22" ht="17.45" customHeight="1" x14ac:dyDescent="0.3">
      <c r="A49" s="46"/>
      <c r="B49" s="47"/>
      <c r="C49" s="47"/>
      <c r="D49" s="47"/>
      <c r="E49" s="47"/>
      <c r="F49" s="48"/>
      <c r="G49" s="2"/>
      <c r="H49" s="56" t="s">
        <v>6</v>
      </c>
      <c r="I49" s="57"/>
      <c r="J49" s="57"/>
      <c r="K49" s="62" t="s">
        <v>7</v>
      </c>
      <c r="L49" s="65" t="str">
        <f>L9</f>
        <v>M/S. Kabir &amp; Co.
1104DT Road West Madarbari,
Chattogram, Bangladesh.</v>
      </c>
      <c r="M49" s="65"/>
      <c r="N49" s="65"/>
      <c r="O49" s="65"/>
      <c r="P49" s="66"/>
      <c r="R49" s="88"/>
      <c r="S49" s="88"/>
      <c r="T49" s="148"/>
      <c r="U49" s="26"/>
      <c r="V49" s="148"/>
    </row>
    <row r="50" spans="1:22" ht="18" thickBot="1" x14ac:dyDescent="0.35">
      <c r="A50" s="49"/>
      <c r="B50" s="50"/>
      <c r="C50" s="50"/>
      <c r="D50" s="50"/>
      <c r="E50" s="50"/>
      <c r="F50" s="51"/>
      <c r="G50" s="2"/>
      <c r="H50" s="58"/>
      <c r="I50" s="59"/>
      <c r="J50" s="59"/>
      <c r="K50" s="63"/>
      <c r="L50" s="67"/>
      <c r="M50" s="67"/>
      <c r="N50" s="67"/>
      <c r="O50" s="67"/>
      <c r="P50" s="68"/>
      <c r="R50" s="88"/>
      <c r="S50" s="88"/>
      <c r="T50" s="147"/>
      <c r="U50" s="26"/>
      <c r="V50" s="147"/>
    </row>
    <row r="51" spans="1:22" ht="18" customHeight="1" thickBot="1" x14ac:dyDescent="0.35">
      <c r="A51" s="42"/>
      <c r="B51" s="42"/>
      <c r="C51" s="1"/>
      <c r="D51" s="2"/>
      <c r="E51" s="2"/>
      <c r="F51" s="2"/>
      <c r="G51" s="2"/>
      <c r="H51" s="60"/>
      <c r="I51" s="61"/>
      <c r="J51" s="61"/>
      <c r="K51" s="64"/>
      <c r="L51" s="69"/>
      <c r="M51" s="69"/>
      <c r="N51" s="69"/>
      <c r="O51" s="69"/>
      <c r="P51" s="70"/>
      <c r="R51" s="88"/>
      <c r="S51" s="88"/>
      <c r="T51" s="147"/>
      <c r="U51" s="26"/>
      <c r="V51" s="148"/>
    </row>
    <row r="52" spans="1:22" ht="16.149999999999999" customHeight="1" x14ac:dyDescent="0.25">
      <c r="A52" s="103" t="s">
        <v>12</v>
      </c>
      <c r="B52" s="104"/>
      <c r="C52" s="105" t="s">
        <v>0</v>
      </c>
      <c r="D52" s="105"/>
      <c r="E52" s="105"/>
      <c r="F52" s="105"/>
      <c r="G52" s="105"/>
      <c r="H52" s="81" t="s">
        <v>1</v>
      </c>
      <c r="I52" s="82"/>
      <c r="J52" s="82"/>
      <c r="K52" s="82"/>
      <c r="L52" s="83"/>
      <c r="M52" s="84" t="s">
        <v>16</v>
      </c>
      <c r="N52" s="85"/>
      <c r="O52" s="86"/>
      <c r="P52" s="93" t="s">
        <v>3</v>
      </c>
      <c r="R52" s="88"/>
      <c r="S52" s="88"/>
      <c r="T52" s="147"/>
      <c r="U52" s="26"/>
      <c r="V52" s="148"/>
    </row>
    <row r="53" spans="1:22" ht="16.149999999999999" customHeight="1" x14ac:dyDescent="0.25">
      <c r="A53" s="3" t="s">
        <v>13</v>
      </c>
      <c r="B53" s="33">
        <f>B13</f>
        <v>1</v>
      </c>
      <c r="C53" s="96" t="str">
        <f>C13</f>
        <v>Delivery of Readymade Garments</v>
      </c>
      <c r="D53" s="96"/>
      <c r="E53" s="96"/>
      <c r="F53" s="96"/>
      <c r="G53" s="96"/>
      <c r="H53" s="97" t="s">
        <v>2</v>
      </c>
      <c r="I53" s="98"/>
      <c r="J53" s="99"/>
      <c r="K53" s="97" t="s">
        <v>15</v>
      </c>
      <c r="L53" s="99"/>
      <c r="M53" s="87"/>
      <c r="N53" s="88"/>
      <c r="O53" s="89"/>
      <c r="P53" s="94"/>
      <c r="R53" s="88"/>
      <c r="S53" s="88"/>
      <c r="T53" s="147"/>
      <c r="V53" s="147"/>
    </row>
    <row r="54" spans="1:22" ht="16.149999999999999" customHeight="1" thickBot="1" x14ac:dyDescent="0.3">
      <c r="A54" s="113" t="s">
        <v>11</v>
      </c>
      <c r="B54" s="114"/>
      <c r="C54" s="115" t="str">
        <f>C14</f>
        <v>H &amp; M</v>
      </c>
      <c r="D54" s="116"/>
      <c r="E54" s="117" t="s">
        <v>88</v>
      </c>
      <c r="F54" s="118"/>
      <c r="G54" s="114"/>
      <c r="H54" s="100"/>
      <c r="I54" s="101"/>
      <c r="J54" s="102"/>
      <c r="K54" s="100"/>
      <c r="L54" s="102"/>
      <c r="M54" s="90"/>
      <c r="N54" s="91"/>
      <c r="O54" s="92"/>
      <c r="P54" s="95"/>
      <c r="R54" s="88"/>
      <c r="S54" s="88"/>
      <c r="T54" s="147"/>
      <c r="V54" s="148"/>
    </row>
    <row r="55" spans="1:22" ht="25.15" customHeight="1" x14ac:dyDescent="0.25">
      <c r="A55" s="31">
        <f>A15</f>
        <v>0</v>
      </c>
      <c r="B55" s="119">
        <f>B15</f>
        <v>0</v>
      </c>
      <c r="C55" s="119"/>
      <c r="D55" s="119"/>
      <c r="E55" s="119"/>
      <c r="F55" s="119"/>
      <c r="G55" s="119"/>
      <c r="H55" s="120">
        <f>H15</f>
        <v>0</v>
      </c>
      <c r="I55" s="121"/>
      <c r="J55" s="122"/>
      <c r="K55" s="123">
        <f>K15</f>
        <v>0</v>
      </c>
      <c r="L55" s="124"/>
      <c r="M55" s="106">
        <f>M15</f>
        <v>0</v>
      </c>
      <c r="N55" s="107"/>
      <c r="O55" s="108"/>
      <c r="P55" s="35" t="str">
        <f>P15</f>
        <v xml:space="preserve">EMPTY CTN </v>
      </c>
      <c r="R55" s="88"/>
      <c r="S55" s="88"/>
      <c r="T55" s="147"/>
      <c r="V55" s="148"/>
    </row>
    <row r="56" spans="1:22" ht="25.15" customHeight="1" x14ac:dyDescent="0.25">
      <c r="A56" s="32">
        <f>A16</f>
        <v>0</v>
      </c>
      <c r="B56" s="109" t="str">
        <f>B16</f>
        <v>307355-5832</v>
      </c>
      <c r="C56" s="109"/>
      <c r="D56" s="109"/>
      <c r="E56" s="109"/>
      <c r="F56" s="109"/>
      <c r="G56" s="109"/>
      <c r="H56" s="110">
        <f>H16</f>
        <v>1</v>
      </c>
      <c r="I56" s="110"/>
      <c r="J56" s="110"/>
      <c r="K56" s="111">
        <f>K16</f>
        <v>36</v>
      </c>
      <c r="L56" s="111"/>
      <c r="M56" s="112" t="str">
        <f t="shared" ref="M56:M74" si="0">M16</f>
        <v>OL</v>
      </c>
      <c r="N56" s="112"/>
      <c r="O56" s="112"/>
      <c r="P56" s="35" t="str">
        <f>P16</f>
        <v>10 PS</v>
      </c>
      <c r="R56" s="88"/>
      <c r="S56" s="88"/>
      <c r="T56" s="67"/>
      <c r="V56" s="147"/>
    </row>
    <row r="57" spans="1:22" ht="25.15" customHeight="1" x14ac:dyDescent="0.25">
      <c r="A57" s="32">
        <f t="shared" ref="A57:B72" si="1">A17</f>
        <v>0</v>
      </c>
      <c r="B57" s="109" t="str">
        <f t="shared" si="1"/>
        <v>307987-5832</v>
      </c>
      <c r="C57" s="109"/>
      <c r="D57" s="109"/>
      <c r="E57" s="109"/>
      <c r="F57" s="109"/>
      <c r="G57" s="109"/>
      <c r="H57" s="110">
        <f>H17</f>
        <v>2</v>
      </c>
      <c r="I57" s="110"/>
      <c r="J57" s="110"/>
      <c r="K57" s="111">
        <f>K17</f>
        <v>153</v>
      </c>
      <c r="L57" s="111"/>
      <c r="M57" s="112" t="str">
        <f t="shared" si="0"/>
        <v>PA</v>
      </c>
      <c r="N57" s="112"/>
      <c r="O57" s="112"/>
      <c r="P57" s="35">
        <f t="shared" ref="P57:P74" si="2">P17</f>
        <v>0</v>
      </c>
      <c r="R57" s="88"/>
      <c r="S57" s="88"/>
      <c r="T57" s="67"/>
      <c r="V57" s="148"/>
    </row>
    <row r="58" spans="1:22" ht="25.15" customHeight="1" x14ac:dyDescent="0.25">
      <c r="A58" s="32">
        <f t="shared" si="1"/>
        <v>0</v>
      </c>
      <c r="B58" s="109" t="str">
        <f t="shared" si="1"/>
        <v>300635-5832</v>
      </c>
      <c r="C58" s="109"/>
      <c r="D58" s="109"/>
      <c r="E58" s="109"/>
      <c r="F58" s="109"/>
      <c r="G58" s="109"/>
      <c r="H58" s="110">
        <f t="shared" ref="H58:H74" si="3">H18</f>
        <v>49</v>
      </c>
      <c r="I58" s="110"/>
      <c r="J58" s="110"/>
      <c r="K58" s="111">
        <f t="shared" ref="K58:K74" si="4">K18</f>
        <v>3685</v>
      </c>
      <c r="L58" s="111"/>
      <c r="M58" s="112" t="str">
        <f t="shared" si="0"/>
        <v>GB</v>
      </c>
      <c r="N58" s="112"/>
      <c r="O58" s="112"/>
      <c r="P58" s="35">
        <f t="shared" si="2"/>
        <v>0</v>
      </c>
      <c r="R58" s="88"/>
      <c r="S58" s="88"/>
      <c r="T58" s="67"/>
      <c r="V58" s="148"/>
    </row>
    <row r="59" spans="1:22" ht="25.15" customHeight="1" x14ac:dyDescent="0.25">
      <c r="A59" s="32">
        <f t="shared" si="1"/>
        <v>0</v>
      </c>
      <c r="B59" s="109" t="str">
        <f t="shared" si="1"/>
        <v>307361-5832</v>
      </c>
      <c r="C59" s="109"/>
      <c r="D59" s="109"/>
      <c r="E59" s="109"/>
      <c r="F59" s="109"/>
      <c r="G59" s="109"/>
      <c r="H59" s="110">
        <f t="shared" si="3"/>
        <v>2</v>
      </c>
      <c r="I59" s="110"/>
      <c r="J59" s="110"/>
      <c r="K59" s="111">
        <f t="shared" si="4"/>
        <v>145</v>
      </c>
      <c r="L59" s="111"/>
      <c r="M59" s="112" t="str">
        <f t="shared" si="0"/>
        <v>OL</v>
      </c>
      <c r="N59" s="112"/>
      <c r="O59" s="112"/>
      <c r="P59" s="35">
        <f t="shared" si="2"/>
        <v>0</v>
      </c>
      <c r="R59" s="88"/>
      <c r="S59" s="88"/>
      <c r="T59" s="67"/>
      <c r="V59" s="147"/>
    </row>
    <row r="60" spans="1:22" ht="25.15" customHeight="1" x14ac:dyDescent="0.25">
      <c r="A60" s="32">
        <f t="shared" si="1"/>
        <v>0</v>
      </c>
      <c r="B60" s="109" t="str">
        <f t="shared" si="1"/>
        <v>299581-5828</v>
      </c>
      <c r="C60" s="109"/>
      <c r="D60" s="109"/>
      <c r="E60" s="109"/>
      <c r="F60" s="109"/>
      <c r="G60" s="109"/>
      <c r="H60" s="110">
        <f t="shared" si="3"/>
        <v>133</v>
      </c>
      <c r="I60" s="110"/>
      <c r="J60" s="110"/>
      <c r="K60" s="111">
        <f t="shared" si="4"/>
        <v>11089</v>
      </c>
      <c r="L60" s="111"/>
      <c r="M60" s="112" t="str">
        <f t="shared" si="0"/>
        <v>CN</v>
      </c>
      <c r="N60" s="112"/>
      <c r="O60" s="112"/>
      <c r="P60" s="35">
        <f t="shared" si="2"/>
        <v>0</v>
      </c>
      <c r="R60" s="88"/>
      <c r="S60" s="88"/>
      <c r="T60" s="67"/>
      <c r="V60" s="148"/>
    </row>
    <row r="61" spans="1:22" ht="25.15" customHeight="1" x14ac:dyDescent="0.25">
      <c r="A61" s="32">
        <f t="shared" si="1"/>
        <v>0</v>
      </c>
      <c r="B61" s="109" t="str">
        <f t="shared" si="1"/>
        <v>306972-5828</v>
      </c>
      <c r="C61" s="109"/>
      <c r="D61" s="109"/>
      <c r="E61" s="109"/>
      <c r="F61" s="109"/>
      <c r="G61" s="109"/>
      <c r="H61" s="110">
        <f t="shared" si="3"/>
        <v>1</v>
      </c>
      <c r="I61" s="110"/>
      <c r="J61" s="110"/>
      <c r="K61" s="111">
        <f t="shared" si="4"/>
        <v>76</v>
      </c>
      <c r="L61" s="111"/>
      <c r="M61" s="112" t="str">
        <f t="shared" si="0"/>
        <v>IX-65</v>
      </c>
      <c r="N61" s="112"/>
      <c r="O61" s="112"/>
      <c r="P61" s="35">
        <f t="shared" si="2"/>
        <v>0</v>
      </c>
      <c r="R61" s="88"/>
      <c r="S61" s="88"/>
      <c r="T61" s="67"/>
      <c r="V61" s="148"/>
    </row>
    <row r="62" spans="1:22" ht="25.15" customHeight="1" x14ac:dyDescent="0.25">
      <c r="A62" s="32">
        <f t="shared" si="1"/>
        <v>0</v>
      </c>
      <c r="B62" s="109" t="str">
        <f t="shared" si="1"/>
        <v>304153-7272</v>
      </c>
      <c r="C62" s="109"/>
      <c r="D62" s="109"/>
      <c r="E62" s="109"/>
      <c r="F62" s="109"/>
      <c r="G62" s="109"/>
      <c r="H62" s="110">
        <f t="shared" si="3"/>
        <v>49</v>
      </c>
      <c r="I62" s="110"/>
      <c r="J62" s="110"/>
      <c r="K62" s="111">
        <f t="shared" si="4"/>
        <v>2489</v>
      </c>
      <c r="L62" s="111"/>
      <c r="M62" s="112" t="str">
        <f t="shared" si="0"/>
        <v>GB,PA</v>
      </c>
      <c r="N62" s="112"/>
      <c r="O62" s="112"/>
      <c r="P62" s="35">
        <f t="shared" si="2"/>
        <v>0</v>
      </c>
      <c r="R62" s="88"/>
      <c r="S62" s="88"/>
      <c r="T62" s="67"/>
    </row>
    <row r="63" spans="1:22" ht="25.15" customHeight="1" x14ac:dyDescent="0.25">
      <c r="A63" s="32">
        <f t="shared" si="1"/>
        <v>0</v>
      </c>
      <c r="B63" s="109" t="str">
        <f t="shared" si="1"/>
        <v>319437-5832</v>
      </c>
      <c r="C63" s="109"/>
      <c r="D63" s="109"/>
      <c r="E63" s="109"/>
      <c r="F63" s="109"/>
      <c r="G63" s="109"/>
      <c r="H63" s="110">
        <f t="shared" si="3"/>
        <v>12</v>
      </c>
      <c r="I63" s="110"/>
      <c r="J63" s="110"/>
      <c r="K63" s="111">
        <f t="shared" si="4"/>
        <v>698</v>
      </c>
      <c r="L63" s="111"/>
      <c r="M63" s="112" t="str">
        <f t="shared" si="0"/>
        <v>OG</v>
      </c>
      <c r="N63" s="112"/>
      <c r="O63" s="112"/>
      <c r="P63" s="35">
        <f t="shared" si="2"/>
        <v>0</v>
      </c>
      <c r="R63" s="88"/>
      <c r="S63" s="88"/>
      <c r="T63" s="67"/>
    </row>
    <row r="64" spans="1:22" ht="25.15" customHeight="1" x14ac:dyDescent="0.25">
      <c r="A64" s="32">
        <f t="shared" si="1"/>
        <v>0</v>
      </c>
      <c r="B64" s="109" t="str">
        <f t="shared" si="1"/>
        <v>291816-5832</v>
      </c>
      <c r="C64" s="109"/>
      <c r="D64" s="109"/>
      <c r="E64" s="109"/>
      <c r="F64" s="109"/>
      <c r="G64" s="109"/>
      <c r="H64" s="110">
        <f t="shared" si="3"/>
        <v>1</v>
      </c>
      <c r="I64" s="110"/>
      <c r="J64" s="110"/>
      <c r="K64" s="111">
        <f t="shared" si="4"/>
        <v>50</v>
      </c>
      <c r="L64" s="111"/>
      <c r="M64" s="112" t="str">
        <f t="shared" si="0"/>
        <v>OL</v>
      </c>
      <c r="N64" s="112"/>
      <c r="O64" s="112"/>
      <c r="P64" s="35">
        <f t="shared" si="2"/>
        <v>0</v>
      </c>
      <c r="R64" s="88"/>
      <c r="S64" s="88"/>
      <c r="T64" s="67"/>
    </row>
    <row r="65" spans="1:20" ht="25.15" customHeight="1" x14ac:dyDescent="0.25">
      <c r="A65" s="32">
        <f t="shared" si="1"/>
        <v>0</v>
      </c>
      <c r="B65" s="109" t="str">
        <f t="shared" si="1"/>
        <v>283581-5832</v>
      </c>
      <c r="C65" s="109"/>
      <c r="D65" s="109"/>
      <c r="E65" s="109"/>
      <c r="F65" s="109"/>
      <c r="G65" s="109"/>
      <c r="H65" s="110">
        <f t="shared" si="3"/>
        <v>15</v>
      </c>
      <c r="I65" s="110"/>
      <c r="J65" s="110"/>
      <c r="K65" s="111">
        <f t="shared" si="4"/>
        <v>1014</v>
      </c>
      <c r="L65" s="111"/>
      <c r="M65" s="112" t="str">
        <f t="shared" si="0"/>
        <v>OB</v>
      </c>
      <c r="N65" s="112"/>
      <c r="O65" s="112"/>
      <c r="P65" s="35">
        <f t="shared" si="2"/>
        <v>0</v>
      </c>
      <c r="R65" s="88"/>
      <c r="S65" s="88"/>
      <c r="T65" s="67"/>
    </row>
    <row r="66" spans="1:20" ht="25.15" customHeight="1" x14ac:dyDescent="0.25">
      <c r="A66" s="32">
        <f t="shared" si="1"/>
        <v>0</v>
      </c>
      <c r="B66" s="109" t="str">
        <f t="shared" si="1"/>
        <v>302565-7952</v>
      </c>
      <c r="C66" s="109"/>
      <c r="D66" s="109"/>
      <c r="E66" s="109"/>
      <c r="F66" s="109"/>
      <c r="G66" s="109"/>
      <c r="H66" s="110">
        <f t="shared" si="3"/>
        <v>1</v>
      </c>
      <c r="I66" s="110"/>
      <c r="J66" s="110"/>
      <c r="K66" s="111">
        <f t="shared" si="4"/>
        <v>10</v>
      </c>
      <c r="L66" s="111"/>
      <c r="M66" s="112" t="str">
        <f t="shared" si="0"/>
        <v>PA</v>
      </c>
      <c r="N66" s="112"/>
      <c r="O66" s="112"/>
      <c r="P66" s="35">
        <f t="shared" si="2"/>
        <v>0</v>
      </c>
      <c r="R66" s="88"/>
      <c r="S66" s="88"/>
      <c r="T66" s="67"/>
    </row>
    <row r="67" spans="1:20" ht="25.15" customHeight="1" x14ac:dyDescent="0.25">
      <c r="A67" s="32">
        <f t="shared" si="1"/>
        <v>0</v>
      </c>
      <c r="B67" s="109" t="str">
        <f t="shared" si="1"/>
        <v>285445-5832</v>
      </c>
      <c r="C67" s="109"/>
      <c r="D67" s="109"/>
      <c r="E67" s="109"/>
      <c r="F67" s="109"/>
      <c r="G67" s="109"/>
      <c r="H67" s="110">
        <f t="shared" si="3"/>
        <v>1</v>
      </c>
      <c r="I67" s="110"/>
      <c r="J67" s="110"/>
      <c r="K67" s="111">
        <f t="shared" si="4"/>
        <v>18</v>
      </c>
      <c r="L67" s="111"/>
      <c r="M67" s="112" t="str">
        <f t="shared" si="0"/>
        <v>OL</v>
      </c>
      <c r="N67" s="112"/>
      <c r="O67" s="112"/>
      <c r="P67" s="35">
        <f t="shared" si="2"/>
        <v>0</v>
      </c>
      <c r="R67" s="88"/>
      <c r="S67" s="88"/>
      <c r="T67" s="67"/>
    </row>
    <row r="68" spans="1:20" ht="25.15" customHeight="1" x14ac:dyDescent="0.25">
      <c r="A68" s="32">
        <f t="shared" si="1"/>
        <v>0</v>
      </c>
      <c r="B68" s="109" t="str">
        <f t="shared" si="1"/>
        <v>318242-5832</v>
      </c>
      <c r="C68" s="109"/>
      <c r="D68" s="109"/>
      <c r="E68" s="109"/>
      <c r="F68" s="109"/>
      <c r="G68" s="109"/>
      <c r="H68" s="110">
        <f t="shared" si="3"/>
        <v>10</v>
      </c>
      <c r="I68" s="110"/>
      <c r="J68" s="110"/>
      <c r="K68" s="111">
        <f t="shared" si="4"/>
        <v>654</v>
      </c>
      <c r="L68" s="111"/>
      <c r="M68" s="112" t="str">
        <f t="shared" si="0"/>
        <v>OG</v>
      </c>
      <c r="N68" s="112"/>
      <c r="O68" s="112"/>
      <c r="P68" s="35">
        <f t="shared" si="2"/>
        <v>0</v>
      </c>
      <c r="R68" s="88"/>
      <c r="S68" s="88"/>
      <c r="T68" s="67"/>
    </row>
    <row r="69" spans="1:20" ht="25.15" customHeight="1" x14ac:dyDescent="0.25">
      <c r="A69" s="32">
        <f t="shared" si="1"/>
        <v>0</v>
      </c>
      <c r="B69" s="109" t="str">
        <f t="shared" si="1"/>
        <v>307360-5832</v>
      </c>
      <c r="C69" s="109"/>
      <c r="D69" s="109"/>
      <c r="E69" s="109"/>
      <c r="F69" s="109"/>
      <c r="G69" s="109"/>
      <c r="H69" s="110">
        <f t="shared" si="3"/>
        <v>9</v>
      </c>
      <c r="I69" s="110"/>
      <c r="J69" s="110"/>
      <c r="K69" s="111">
        <f t="shared" si="4"/>
        <v>735</v>
      </c>
      <c r="L69" s="111"/>
      <c r="M69" s="112" t="str">
        <f t="shared" si="0"/>
        <v>OL,OB</v>
      </c>
      <c r="N69" s="112"/>
      <c r="O69" s="112"/>
      <c r="P69" s="35">
        <f t="shared" si="2"/>
        <v>0</v>
      </c>
      <c r="R69" s="88"/>
      <c r="S69" s="88"/>
      <c r="T69" s="67"/>
    </row>
    <row r="70" spans="1:20" ht="25.15" customHeight="1" x14ac:dyDescent="0.25">
      <c r="A70" s="32">
        <f t="shared" si="1"/>
        <v>0</v>
      </c>
      <c r="B70" s="109">
        <f t="shared" si="1"/>
        <v>0</v>
      </c>
      <c r="C70" s="109"/>
      <c r="D70" s="109"/>
      <c r="E70" s="109"/>
      <c r="F70" s="109"/>
      <c r="G70" s="109"/>
      <c r="H70" s="110">
        <f t="shared" si="3"/>
        <v>0</v>
      </c>
      <c r="I70" s="110"/>
      <c r="J70" s="110"/>
      <c r="K70" s="111">
        <f t="shared" si="4"/>
        <v>0</v>
      </c>
      <c r="L70" s="111"/>
      <c r="M70" s="112">
        <f t="shared" si="0"/>
        <v>0</v>
      </c>
      <c r="N70" s="112"/>
      <c r="O70" s="112"/>
      <c r="P70" s="35">
        <f t="shared" si="2"/>
        <v>0</v>
      </c>
      <c r="R70" s="88"/>
      <c r="S70" s="88"/>
      <c r="T70" s="67"/>
    </row>
    <row r="71" spans="1:20" ht="25.15" customHeight="1" x14ac:dyDescent="0.25">
      <c r="A71" s="32">
        <f t="shared" si="1"/>
        <v>0</v>
      </c>
      <c r="B71" s="109">
        <f t="shared" si="1"/>
        <v>0</v>
      </c>
      <c r="C71" s="109"/>
      <c r="D71" s="109"/>
      <c r="E71" s="109"/>
      <c r="F71" s="109"/>
      <c r="G71" s="109"/>
      <c r="H71" s="110">
        <f t="shared" si="3"/>
        <v>0</v>
      </c>
      <c r="I71" s="110"/>
      <c r="J71" s="110"/>
      <c r="K71" s="111">
        <f t="shared" si="4"/>
        <v>0</v>
      </c>
      <c r="L71" s="111"/>
      <c r="M71" s="112">
        <f t="shared" si="0"/>
        <v>0</v>
      </c>
      <c r="N71" s="112"/>
      <c r="O71" s="112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09">
        <f t="shared" si="1"/>
        <v>0</v>
      </c>
      <c r="C72" s="109"/>
      <c r="D72" s="109"/>
      <c r="E72" s="109"/>
      <c r="F72" s="109"/>
      <c r="G72" s="109"/>
      <c r="H72" s="110">
        <f t="shared" si="3"/>
        <v>0</v>
      </c>
      <c r="I72" s="110"/>
      <c r="J72" s="110"/>
      <c r="K72" s="111">
        <f t="shared" si="4"/>
        <v>0</v>
      </c>
      <c r="L72" s="111"/>
      <c r="M72" s="112">
        <f t="shared" si="0"/>
        <v>0</v>
      </c>
      <c r="N72" s="112"/>
      <c r="O72" s="112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09">
        <f t="shared" si="5"/>
        <v>0</v>
      </c>
      <c r="C73" s="109"/>
      <c r="D73" s="109"/>
      <c r="E73" s="109"/>
      <c r="F73" s="109"/>
      <c r="G73" s="109"/>
      <c r="H73" s="110">
        <f t="shared" si="3"/>
        <v>0</v>
      </c>
      <c r="I73" s="110"/>
      <c r="J73" s="110"/>
      <c r="K73" s="111">
        <f t="shared" si="4"/>
        <v>0</v>
      </c>
      <c r="L73" s="111"/>
      <c r="M73" s="112">
        <f t="shared" si="0"/>
        <v>0</v>
      </c>
      <c r="N73" s="112"/>
      <c r="O73" s="112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09">
        <f t="shared" si="5"/>
        <v>0</v>
      </c>
      <c r="C74" s="109"/>
      <c r="D74" s="109"/>
      <c r="E74" s="109"/>
      <c r="F74" s="109"/>
      <c r="G74" s="109"/>
      <c r="H74" s="110">
        <f t="shared" si="3"/>
        <v>0</v>
      </c>
      <c r="I74" s="110"/>
      <c r="J74" s="110"/>
      <c r="K74" s="111">
        <f t="shared" si="4"/>
        <v>0</v>
      </c>
      <c r="L74" s="111"/>
      <c r="M74" s="112">
        <f t="shared" si="0"/>
        <v>0</v>
      </c>
      <c r="N74" s="112"/>
      <c r="O74" s="112"/>
      <c r="P74" s="35">
        <f t="shared" si="2"/>
        <v>0</v>
      </c>
    </row>
    <row r="75" spans="1:20" ht="21.95" customHeight="1" thickBot="1" x14ac:dyDescent="0.3">
      <c r="A75" s="126" t="s">
        <v>17</v>
      </c>
      <c r="B75" s="127"/>
      <c r="C75" s="127"/>
      <c r="D75" s="127"/>
      <c r="E75" s="127"/>
      <c r="F75" s="127"/>
      <c r="G75" s="116"/>
      <c r="H75" s="128">
        <f>SUM(H55:J74)</f>
        <v>286</v>
      </c>
      <c r="I75" s="129"/>
      <c r="J75" s="130"/>
      <c r="K75" s="131">
        <f>SUM(K55:L74)</f>
        <v>20852</v>
      </c>
      <c r="L75" s="132"/>
      <c r="M75" s="133"/>
      <c r="N75" s="134"/>
      <c r="O75" s="135"/>
      <c r="P75" s="19"/>
    </row>
    <row r="77" spans="1:20" ht="31.9" customHeight="1" x14ac:dyDescent="0.25">
      <c r="A77" s="137" t="s">
        <v>22</v>
      </c>
      <c r="B77" s="138"/>
      <c r="C77" s="138"/>
      <c r="D77" s="139" t="str">
        <f>D37</f>
        <v>MD.MOHON</v>
      </c>
      <c r="E77" s="139"/>
      <c r="F77" s="139"/>
      <c r="G77" s="138" t="s">
        <v>23</v>
      </c>
      <c r="H77" s="138"/>
      <c r="I77" s="138"/>
      <c r="J77" s="138"/>
      <c r="K77" s="138"/>
      <c r="L77" s="138"/>
      <c r="M77" s="140" t="str">
        <f>M37</f>
        <v>01828-777862</v>
      </c>
      <c r="N77" s="140"/>
      <c r="O77" s="140"/>
      <c r="P77" s="141"/>
    </row>
    <row r="78" spans="1:20" ht="31.9" customHeight="1" x14ac:dyDescent="0.25">
      <c r="A78" s="142" t="s">
        <v>24</v>
      </c>
      <c r="B78" s="143"/>
      <c r="C78" s="143"/>
      <c r="D78" s="144">
        <f>D38</f>
        <v>20597109</v>
      </c>
      <c r="E78" s="144"/>
      <c r="F78" s="144"/>
      <c r="G78" s="143" t="s">
        <v>25</v>
      </c>
      <c r="H78" s="143"/>
      <c r="I78" s="143"/>
      <c r="J78" s="143"/>
      <c r="K78" s="143"/>
      <c r="L78" s="143"/>
      <c r="M78" s="145" t="str">
        <f>M38</f>
        <v>D.M.TA 11-4375</v>
      </c>
      <c r="N78" s="145"/>
      <c r="O78" s="145"/>
      <c r="P78" s="146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36" t="s">
        <v>18</v>
      </c>
      <c r="B80" s="136"/>
      <c r="C80" s="136"/>
      <c r="D80" s="4"/>
      <c r="E80" s="4"/>
      <c r="F80" s="136" t="s">
        <v>19</v>
      </c>
      <c r="G80" s="136"/>
      <c r="H80" s="6"/>
      <c r="I80" s="6"/>
      <c r="J80" s="6"/>
      <c r="K80" s="4"/>
      <c r="L80" s="136" t="s">
        <v>20</v>
      </c>
      <c r="M80" s="136"/>
      <c r="N80" s="136"/>
      <c r="O80" s="136"/>
      <c r="P80" s="136"/>
    </row>
    <row r="81" spans="1:22" ht="8.25" customHeight="1" x14ac:dyDescent="0.25"/>
    <row r="82" spans="1:22" ht="36.75" customHeight="1" x14ac:dyDescent="0.25">
      <c r="A82" s="37"/>
      <c r="B82" s="37"/>
      <c r="C82" s="37"/>
      <c r="D82" s="38" t="s">
        <v>27</v>
      </c>
      <c r="E82" s="38"/>
      <c r="F82" s="38"/>
      <c r="G82" s="38"/>
      <c r="H82" s="38"/>
      <c r="I82" s="38"/>
      <c r="J82" s="38"/>
      <c r="K82" s="38"/>
      <c r="L82" s="38"/>
      <c r="M82" s="39" t="str">
        <f>M42</f>
        <v>FORM STR 03
REVISION NO 01</v>
      </c>
      <c r="N82" s="39"/>
      <c r="O82" s="39"/>
      <c r="P82" s="39"/>
      <c r="Q82" s="10"/>
    </row>
    <row r="83" spans="1:22" ht="22.15" customHeight="1" x14ac:dyDescent="0.25">
      <c r="A83" s="37"/>
      <c r="B83" s="37"/>
      <c r="C83" s="37"/>
      <c r="D83" s="38"/>
      <c r="E83" s="38"/>
      <c r="F83" s="38"/>
      <c r="G83" s="38"/>
      <c r="H83" s="38"/>
      <c r="I83" s="38"/>
      <c r="J83" s="38"/>
      <c r="K83" s="38"/>
      <c r="L83" s="38"/>
      <c r="M83" s="39"/>
      <c r="N83" s="39"/>
      <c r="O83" s="39"/>
      <c r="P83" s="39"/>
      <c r="Q83" s="10"/>
    </row>
    <row r="84" spans="1:22" ht="17.45" customHeight="1" x14ac:dyDescent="0.25">
      <c r="A84" s="40"/>
      <c r="B84" s="40"/>
      <c r="C84" s="40"/>
      <c r="D84" s="41" t="s">
        <v>21</v>
      </c>
      <c r="E84" s="41"/>
      <c r="F84" s="41"/>
      <c r="G84" s="41"/>
      <c r="H84" s="41"/>
      <c r="I84" s="41"/>
      <c r="J84" s="41"/>
      <c r="K84" s="41"/>
      <c r="L84" s="41"/>
      <c r="M84" s="11"/>
    </row>
    <row r="85" spans="1:22" ht="22.15" customHeight="1" thickBot="1" x14ac:dyDescent="0.35">
      <c r="A85" s="42"/>
      <c r="B85" s="42"/>
      <c r="C85" s="1"/>
      <c r="D85" s="43" t="s">
        <v>91</v>
      </c>
      <c r="E85" s="43"/>
      <c r="F85" s="43"/>
      <c r="G85" s="43"/>
      <c r="H85" s="43"/>
      <c r="I85" s="43"/>
      <c r="J85" s="43"/>
      <c r="K85" s="43"/>
      <c r="L85" s="43"/>
      <c r="M85" s="2"/>
      <c r="N85" s="37"/>
      <c r="O85" s="37"/>
      <c r="P85" s="37"/>
    </row>
    <row r="86" spans="1:22" ht="15.6" customHeight="1" thickBot="1" x14ac:dyDescent="0.35">
      <c r="A86" s="71" t="s">
        <v>9</v>
      </c>
      <c r="B86" s="72"/>
      <c r="C86" s="73" t="str">
        <f>C46</f>
        <v>O535</v>
      </c>
      <c r="D86" s="73"/>
      <c r="E86" s="73"/>
      <c r="F86" s="74"/>
      <c r="G86" s="2"/>
      <c r="H86" s="75" t="s">
        <v>4</v>
      </c>
      <c r="I86" s="76"/>
      <c r="J86" s="76"/>
      <c r="K86" s="8" t="s">
        <v>7</v>
      </c>
      <c r="L86" s="77" t="str">
        <f>L46</f>
        <v>JP 523806</v>
      </c>
      <c r="M86" s="77"/>
      <c r="N86" s="77"/>
      <c r="O86" s="77"/>
      <c r="P86" s="78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52" t="s">
        <v>5</v>
      </c>
      <c r="I87" s="53"/>
      <c r="J87" s="53"/>
      <c r="K87" s="9" t="s">
        <v>7</v>
      </c>
      <c r="L87" s="79">
        <f>L47</f>
        <v>45687</v>
      </c>
      <c r="M87" s="79"/>
      <c r="N87" s="79"/>
      <c r="O87" s="79"/>
      <c r="P87" s="80"/>
      <c r="R87" s="88"/>
      <c r="S87" s="88"/>
      <c r="T87" s="147"/>
      <c r="U87" s="26"/>
      <c r="V87" s="147"/>
    </row>
    <row r="88" spans="1:22" ht="18" customHeight="1" x14ac:dyDescent="0.3">
      <c r="A88" s="46" t="str">
        <f>A48</f>
        <v>Vertex Off-Dock Logistics Services Ltd.
1443/1509, Old Airport Road, Katghar, North Patenga,
Chattogram 4204, Bangladesh.</v>
      </c>
      <c r="B88" s="47"/>
      <c r="C88" s="47"/>
      <c r="D88" s="47"/>
      <c r="E88" s="47"/>
      <c r="F88" s="48"/>
      <c r="G88" s="2"/>
      <c r="H88" s="52" t="s">
        <v>8</v>
      </c>
      <c r="I88" s="53"/>
      <c r="J88" s="53"/>
      <c r="K88" s="9" t="s">
        <v>7</v>
      </c>
      <c r="L88" s="54" t="str">
        <f>L48</f>
        <v>SEA</v>
      </c>
      <c r="M88" s="54"/>
      <c r="N88" s="54"/>
      <c r="O88" s="54"/>
      <c r="P88" s="55"/>
      <c r="R88" s="88"/>
      <c r="S88" s="88"/>
      <c r="T88" s="148"/>
      <c r="U88" s="26"/>
      <c r="V88" s="148"/>
    </row>
    <row r="89" spans="1:22" ht="17.45" customHeight="1" x14ac:dyDescent="0.3">
      <c r="A89" s="46"/>
      <c r="B89" s="47"/>
      <c r="C89" s="47"/>
      <c r="D89" s="47"/>
      <c r="E89" s="47"/>
      <c r="F89" s="48"/>
      <c r="G89" s="2"/>
      <c r="H89" s="56" t="s">
        <v>6</v>
      </c>
      <c r="I89" s="57"/>
      <c r="J89" s="57"/>
      <c r="K89" s="62" t="s">
        <v>7</v>
      </c>
      <c r="L89" s="65" t="str">
        <f>L49</f>
        <v>M/S. Kabir &amp; Co.
1104DT Road West Madarbari,
Chattogram, Bangladesh.</v>
      </c>
      <c r="M89" s="65"/>
      <c r="N89" s="65"/>
      <c r="O89" s="65"/>
      <c r="P89" s="66"/>
      <c r="R89" s="88"/>
      <c r="S89" s="88"/>
      <c r="T89" s="148"/>
      <c r="U89" s="26"/>
      <c r="V89" s="148"/>
    </row>
    <row r="90" spans="1:22" ht="18" thickBot="1" x14ac:dyDescent="0.35">
      <c r="A90" s="49"/>
      <c r="B90" s="50"/>
      <c r="C90" s="50"/>
      <c r="D90" s="50"/>
      <c r="E90" s="50"/>
      <c r="F90" s="51"/>
      <c r="G90" s="2"/>
      <c r="H90" s="58"/>
      <c r="I90" s="59"/>
      <c r="J90" s="59"/>
      <c r="K90" s="63"/>
      <c r="L90" s="67"/>
      <c r="M90" s="67"/>
      <c r="N90" s="67"/>
      <c r="O90" s="67"/>
      <c r="P90" s="68"/>
      <c r="R90" s="88"/>
      <c r="S90" s="88"/>
      <c r="T90" s="147"/>
      <c r="U90" s="26"/>
      <c r="V90" s="147"/>
    </row>
    <row r="91" spans="1:22" ht="18" customHeight="1" thickBot="1" x14ac:dyDescent="0.35">
      <c r="A91" s="42"/>
      <c r="B91" s="42"/>
      <c r="C91" s="1"/>
      <c r="D91" s="2"/>
      <c r="E91" s="2"/>
      <c r="F91" s="2"/>
      <c r="G91" s="2"/>
      <c r="H91" s="60"/>
      <c r="I91" s="61"/>
      <c r="J91" s="61"/>
      <c r="K91" s="64"/>
      <c r="L91" s="69"/>
      <c r="M91" s="69"/>
      <c r="N91" s="69"/>
      <c r="O91" s="69"/>
      <c r="P91" s="70"/>
      <c r="R91" s="88"/>
      <c r="S91" s="88"/>
      <c r="T91" s="147"/>
      <c r="U91" s="26"/>
      <c r="V91" s="148"/>
    </row>
    <row r="92" spans="1:22" ht="16.149999999999999" customHeight="1" x14ac:dyDescent="0.25">
      <c r="A92" s="103" t="s">
        <v>12</v>
      </c>
      <c r="B92" s="104"/>
      <c r="C92" s="105" t="s">
        <v>0</v>
      </c>
      <c r="D92" s="105"/>
      <c r="E92" s="105"/>
      <c r="F92" s="105"/>
      <c r="G92" s="105"/>
      <c r="H92" s="81" t="s">
        <v>1</v>
      </c>
      <c r="I92" s="82"/>
      <c r="J92" s="82"/>
      <c r="K92" s="82"/>
      <c r="L92" s="83"/>
      <c r="M92" s="84" t="s">
        <v>16</v>
      </c>
      <c r="N92" s="85"/>
      <c r="O92" s="86"/>
      <c r="P92" s="93" t="s">
        <v>3</v>
      </c>
      <c r="R92" s="88"/>
      <c r="S92" s="88"/>
      <c r="T92" s="147"/>
      <c r="U92" s="26"/>
      <c r="V92" s="148"/>
    </row>
    <row r="93" spans="1:22" ht="16.149999999999999" customHeight="1" x14ac:dyDescent="0.25">
      <c r="A93" s="3" t="s">
        <v>13</v>
      </c>
      <c r="B93" s="33">
        <f>B53</f>
        <v>1</v>
      </c>
      <c r="C93" s="96" t="str">
        <f>C53</f>
        <v>Delivery of Readymade Garments</v>
      </c>
      <c r="D93" s="96"/>
      <c r="E93" s="96"/>
      <c r="F93" s="96"/>
      <c r="G93" s="96"/>
      <c r="H93" s="97" t="s">
        <v>2</v>
      </c>
      <c r="I93" s="98"/>
      <c r="J93" s="99"/>
      <c r="K93" s="97" t="s">
        <v>15</v>
      </c>
      <c r="L93" s="99"/>
      <c r="M93" s="87"/>
      <c r="N93" s="88"/>
      <c r="O93" s="89"/>
      <c r="P93" s="94"/>
      <c r="R93" s="88"/>
      <c r="S93" s="88"/>
      <c r="T93" s="147"/>
      <c r="V93" s="147"/>
    </row>
    <row r="94" spans="1:22" ht="16.149999999999999" customHeight="1" thickBot="1" x14ac:dyDescent="0.3">
      <c r="A94" s="113" t="s">
        <v>11</v>
      </c>
      <c r="B94" s="114"/>
      <c r="C94" s="115" t="str">
        <f>C54</f>
        <v>H &amp; M</v>
      </c>
      <c r="D94" s="116"/>
      <c r="E94" s="117" t="s">
        <v>88</v>
      </c>
      <c r="F94" s="118"/>
      <c r="G94" s="114"/>
      <c r="H94" s="100"/>
      <c r="I94" s="101"/>
      <c r="J94" s="102"/>
      <c r="K94" s="100"/>
      <c r="L94" s="102"/>
      <c r="M94" s="90"/>
      <c r="N94" s="91"/>
      <c r="O94" s="92"/>
      <c r="P94" s="95"/>
      <c r="R94" s="88"/>
      <c r="S94" s="88"/>
      <c r="T94" s="147"/>
      <c r="V94" s="148"/>
    </row>
    <row r="95" spans="1:22" ht="25.15" customHeight="1" x14ac:dyDescent="0.25">
      <c r="A95" s="31">
        <f>A55</f>
        <v>0</v>
      </c>
      <c r="B95" s="119">
        <f>B55</f>
        <v>0</v>
      </c>
      <c r="C95" s="119"/>
      <c r="D95" s="119"/>
      <c r="E95" s="119"/>
      <c r="F95" s="119"/>
      <c r="G95" s="119"/>
      <c r="H95" s="120">
        <f>H55</f>
        <v>0</v>
      </c>
      <c r="I95" s="121"/>
      <c r="J95" s="122"/>
      <c r="K95" s="123">
        <f>K55</f>
        <v>0</v>
      </c>
      <c r="L95" s="124"/>
      <c r="M95" s="106">
        <f>M55</f>
        <v>0</v>
      </c>
      <c r="N95" s="107"/>
      <c r="O95" s="108"/>
      <c r="P95" s="34" t="str">
        <f>P55</f>
        <v xml:space="preserve">EMPTY CTN </v>
      </c>
      <c r="R95" s="88"/>
      <c r="S95" s="88"/>
      <c r="T95" s="147"/>
      <c r="V95" s="148"/>
    </row>
    <row r="96" spans="1:22" ht="25.15" customHeight="1" x14ac:dyDescent="0.25">
      <c r="A96" s="32">
        <f>A56</f>
        <v>0</v>
      </c>
      <c r="B96" s="109" t="str">
        <f>B56</f>
        <v>307355-5832</v>
      </c>
      <c r="C96" s="109"/>
      <c r="D96" s="109"/>
      <c r="E96" s="109"/>
      <c r="F96" s="109"/>
      <c r="G96" s="109"/>
      <c r="H96" s="110">
        <f>H56</f>
        <v>1</v>
      </c>
      <c r="I96" s="110"/>
      <c r="J96" s="110"/>
      <c r="K96" s="111">
        <f>K56</f>
        <v>36</v>
      </c>
      <c r="L96" s="111"/>
      <c r="M96" s="112" t="str">
        <f>M56</f>
        <v>OL</v>
      </c>
      <c r="N96" s="112"/>
      <c r="O96" s="112"/>
      <c r="P96" s="35" t="str">
        <f>P56</f>
        <v>10 PS</v>
      </c>
      <c r="R96" s="88"/>
      <c r="S96" s="88"/>
      <c r="T96" s="67"/>
      <c r="V96" s="147"/>
    </row>
    <row r="97" spans="1:22" ht="25.15" customHeight="1" x14ac:dyDescent="0.25">
      <c r="A97" s="32">
        <f t="shared" ref="A97:B112" si="6">A57</f>
        <v>0</v>
      </c>
      <c r="B97" s="109" t="str">
        <f t="shared" si="6"/>
        <v>307987-5832</v>
      </c>
      <c r="C97" s="109"/>
      <c r="D97" s="109"/>
      <c r="E97" s="109"/>
      <c r="F97" s="109"/>
      <c r="G97" s="109"/>
      <c r="H97" s="110">
        <f>H57</f>
        <v>2</v>
      </c>
      <c r="I97" s="110"/>
      <c r="J97" s="110"/>
      <c r="K97" s="111">
        <f>K57</f>
        <v>153</v>
      </c>
      <c r="L97" s="111"/>
      <c r="M97" s="112" t="str">
        <f t="shared" ref="M97:M114" si="7">M57</f>
        <v>PA</v>
      </c>
      <c r="N97" s="112"/>
      <c r="O97" s="112"/>
      <c r="P97" s="35">
        <f t="shared" ref="P97:P114" si="8">P57</f>
        <v>0</v>
      </c>
      <c r="R97" s="88"/>
      <c r="S97" s="88"/>
      <c r="T97" s="67"/>
      <c r="V97" s="148"/>
    </row>
    <row r="98" spans="1:22" ht="25.15" customHeight="1" x14ac:dyDescent="0.25">
      <c r="A98" s="32">
        <f t="shared" si="6"/>
        <v>0</v>
      </c>
      <c r="B98" s="109" t="str">
        <f t="shared" si="6"/>
        <v>300635-5832</v>
      </c>
      <c r="C98" s="109"/>
      <c r="D98" s="109"/>
      <c r="E98" s="109"/>
      <c r="F98" s="109"/>
      <c r="G98" s="109"/>
      <c r="H98" s="110">
        <f t="shared" ref="H98:H114" si="9">H58</f>
        <v>49</v>
      </c>
      <c r="I98" s="110"/>
      <c r="J98" s="110"/>
      <c r="K98" s="111">
        <f t="shared" ref="K98:K114" si="10">K58</f>
        <v>3685</v>
      </c>
      <c r="L98" s="111"/>
      <c r="M98" s="112" t="str">
        <f t="shared" si="7"/>
        <v>GB</v>
      </c>
      <c r="N98" s="112"/>
      <c r="O98" s="112"/>
      <c r="P98" s="35">
        <f t="shared" si="8"/>
        <v>0</v>
      </c>
      <c r="R98" s="88"/>
      <c r="S98" s="88"/>
      <c r="T98" s="67"/>
      <c r="V98" s="148"/>
    </row>
    <row r="99" spans="1:22" ht="25.15" customHeight="1" x14ac:dyDescent="0.25">
      <c r="A99" s="32">
        <f t="shared" si="6"/>
        <v>0</v>
      </c>
      <c r="B99" s="109" t="str">
        <f t="shared" si="6"/>
        <v>307361-5832</v>
      </c>
      <c r="C99" s="109"/>
      <c r="D99" s="109"/>
      <c r="E99" s="109"/>
      <c r="F99" s="109"/>
      <c r="G99" s="109"/>
      <c r="H99" s="110">
        <f t="shared" si="9"/>
        <v>2</v>
      </c>
      <c r="I99" s="110"/>
      <c r="J99" s="110"/>
      <c r="K99" s="111">
        <f t="shared" si="10"/>
        <v>145</v>
      </c>
      <c r="L99" s="111"/>
      <c r="M99" s="112" t="str">
        <f t="shared" si="7"/>
        <v>OL</v>
      </c>
      <c r="N99" s="112"/>
      <c r="O99" s="112"/>
      <c r="P99" s="35">
        <f t="shared" si="8"/>
        <v>0</v>
      </c>
      <c r="R99" s="88"/>
      <c r="S99" s="88"/>
      <c r="T99" s="67"/>
      <c r="V99" s="147"/>
    </row>
    <row r="100" spans="1:22" ht="25.15" customHeight="1" x14ac:dyDescent="0.25">
      <c r="A100" s="32">
        <f t="shared" si="6"/>
        <v>0</v>
      </c>
      <c r="B100" s="109" t="str">
        <f t="shared" si="6"/>
        <v>299581-5828</v>
      </c>
      <c r="C100" s="109"/>
      <c r="D100" s="109"/>
      <c r="E100" s="109"/>
      <c r="F100" s="109"/>
      <c r="G100" s="109"/>
      <c r="H100" s="110">
        <f t="shared" si="9"/>
        <v>133</v>
      </c>
      <c r="I100" s="110"/>
      <c r="J100" s="110"/>
      <c r="K100" s="111">
        <f t="shared" si="10"/>
        <v>11089</v>
      </c>
      <c r="L100" s="111"/>
      <c r="M100" s="112" t="str">
        <f t="shared" si="7"/>
        <v>CN</v>
      </c>
      <c r="N100" s="112"/>
      <c r="O100" s="112"/>
      <c r="P100" s="35">
        <f t="shared" si="8"/>
        <v>0</v>
      </c>
      <c r="R100" s="88"/>
      <c r="S100" s="88"/>
      <c r="T100" s="67"/>
      <c r="V100" s="148"/>
    </row>
    <row r="101" spans="1:22" ht="25.15" customHeight="1" x14ac:dyDescent="0.25">
      <c r="A101" s="32">
        <f t="shared" si="6"/>
        <v>0</v>
      </c>
      <c r="B101" s="109" t="str">
        <f t="shared" si="6"/>
        <v>306972-5828</v>
      </c>
      <c r="C101" s="109"/>
      <c r="D101" s="109"/>
      <c r="E101" s="109"/>
      <c r="F101" s="109"/>
      <c r="G101" s="109"/>
      <c r="H101" s="110">
        <f t="shared" si="9"/>
        <v>1</v>
      </c>
      <c r="I101" s="110"/>
      <c r="J101" s="110"/>
      <c r="K101" s="111">
        <f t="shared" si="10"/>
        <v>76</v>
      </c>
      <c r="L101" s="111"/>
      <c r="M101" s="112" t="str">
        <f t="shared" si="7"/>
        <v>IX-65</v>
      </c>
      <c r="N101" s="112"/>
      <c r="O101" s="112"/>
      <c r="P101" s="35">
        <f t="shared" si="8"/>
        <v>0</v>
      </c>
      <c r="R101" s="88"/>
      <c r="S101" s="88"/>
      <c r="T101" s="67"/>
      <c r="V101" s="148"/>
    </row>
    <row r="102" spans="1:22" ht="25.15" customHeight="1" x14ac:dyDescent="0.25">
      <c r="A102" s="32">
        <f t="shared" si="6"/>
        <v>0</v>
      </c>
      <c r="B102" s="109" t="str">
        <f t="shared" si="6"/>
        <v>304153-7272</v>
      </c>
      <c r="C102" s="109"/>
      <c r="D102" s="109"/>
      <c r="E102" s="109"/>
      <c r="F102" s="109"/>
      <c r="G102" s="109"/>
      <c r="H102" s="110">
        <f t="shared" si="9"/>
        <v>49</v>
      </c>
      <c r="I102" s="110"/>
      <c r="J102" s="110"/>
      <c r="K102" s="111">
        <f t="shared" si="10"/>
        <v>2489</v>
      </c>
      <c r="L102" s="111"/>
      <c r="M102" s="112" t="str">
        <f t="shared" si="7"/>
        <v>GB,PA</v>
      </c>
      <c r="N102" s="112"/>
      <c r="O102" s="112"/>
      <c r="P102" s="35">
        <f t="shared" si="8"/>
        <v>0</v>
      </c>
      <c r="R102" s="88"/>
      <c r="S102" s="88"/>
      <c r="T102" s="67"/>
    </row>
    <row r="103" spans="1:22" ht="25.15" customHeight="1" x14ac:dyDescent="0.25">
      <c r="A103" s="32">
        <f t="shared" si="6"/>
        <v>0</v>
      </c>
      <c r="B103" s="109" t="str">
        <f t="shared" si="6"/>
        <v>319437-5832</v>
      </c>
      <c r="C103" s="109"/>
      <c r="D103" s="109"/>
      <c r="E103" s="109"/>
      <c r="F103" s="109"/>
      <c r="G103" s="109"/>
      <c r="H103" s="110">
        <f t="shared" si="9"/>
        <v>12</v>
      </c>
      <c r="I103" s="110"/>
      <c r="J103" s="110"/>
      <c r="K103" s="111">
        <f t="shared" si="10"/>
        <v>698</v>
      </c>
      <c r="L103" s="111"/>
      <c r="M103" s="112" t="str">
        <f t="shared" si="7"/>
        <v>OG</v>
      </c>
      <c r="N103" s="112"/>
      <c r="O103" s="112"/>
      <c r="P103" s="35">
        <f t="shared" si="8"/>
        <v>0</v>
      </c>
      <c r="R103" s="88"/>
      <c r="S103" s="88"/>
      <c r="T103" s="67"/>
    </row>
    <row r="104" spans="1:22" ht="25.15" customHeight="1" x14ac:dyDescent="0.25">
      <c r="A104" s="32">
        <f t="shared" si="6"/>
        <v>0</v>
      </c>
      <c r="B104" s="109" t="str">
        <f t="shared" si="6"/>
        <v>291816-5832</v>
      </c>
      <c r="C104" s="109"/>
      <c r="D104" s="109"/>
      <c r="E104" s="109"/>
      <c r="F104" s="109"/>
      <c r="G104" s="109"/>
      <c r="H104" s="110">
        <f t="shared" si="9"/>
        <v>1</v>
      </c>
      <c r="I104" s="110"/>
      <c r="J104" s="110"/>
      <c r="K104" s="111">
        <f t="shared" si="10"/>
        <v>50</v>
      </c>
      <c r="L104" s="111"/>
      <c r="M104" s="112" t="str">
        <f t="shared" si="7"/>
        <v>OL</v>
      </c>
      <c r="N104" s="112"/>
      <c r="O104" s="112"/>
      <c r="P104" s="35">
        <f t="shared" si="8"/>
        <v>0</v>
      </c>
      <c r="R104" s="88"/>
      <c r="S104" s="88"/>
      <c r="T104" s="67"/>
    </row>
    <row r="105" spans="1:22" ht="25.15" customHeight="1" x14ac:dyDescent="0.25">
      <c r="A105" s="32">
        <f t="shared" si="6"/>
        <v>0</v>
      </c>
      <c r="B105" s="109" t="str">
        <f t="shared" si="6"/>
        <v>283581-5832</v>
      </c>
      <c r="C105" s="109"/>
      <c r="D105" s="109"/>
      <c r="E105" s="109"/>
      <c r="F105" s="109"/>
      <c r="G105" s="109"/>
      <c r="H105" s="110">
        <f t="shared" si="9"/>
        <v>15</v>
      </c>
      <c r="I105" s="110"/>
      <c r="J105" s="110"/>
      <c r="K105" s="111">
        <f t="shared" si="10"/>
        <v>1014</v>
      </c>
      <c r="L105" s="111"/>
      <c r="M105" s="112" t="str">
        <f t="shared" si="7"/>
        <v>OB</v>
      </c>
      <c r="N105" s="112"/>
      <c r="O105" s="112"/>
      <c r="P105" s="35">
        <f t="shared" si="8"/>
        <v>0</v>
      </c>
      <c r="R105" s="88"/>
      <c r="S105" s="88"/>
      <c r="T105" s="67"/>
    </row>
    <row r="106" spans="1:22" ht="25.15" customHeight="1" x14ac:dyDescent="0.25">
      <c r="A106" s="32">
        <f t="shared" si="6"/>
        <v>0</v>
      </c>
      <c r="B106" s="109" t="str">
        <f t="shared" si="6"/>
        <v>302565-7952</v>
      </c>
      <c r="C106" s="109"/>
      <c r="D106" s="109"/>
      <c r="E106" s="109"/>
      <c r="F106" s="109"/>
      <c r="G106" s="109"/>
      <c r="H106" s="110">
        <f t="shared" si="9"/>
        <v>1</v>
      </c>
      <c r="I106" s="110"/>
      <c r="J106" s="110"/>
      <c r="K106" s="111">
        <f t="shared" si="10"/>
        <v>10</v>
      </c>
      <c r="L106" s="111"/>
      <c r="M106" s="112" t="str">
        <f t="shared" si="7"/>
        <v>PA</v>
      </c>
      <c r="N106" s="112"/>
      <c r="O106" s="112"/>
      <c r="P106" s="35">
        <f t="shared" si="8"/>
        <v>0</v>
      </c>
      <c r="R106" s="88"/>
      <c r="S106" s="88"/>
      <c r="T106" s="67"/>
    </row>
    <row r="107" spans="1:22" ht="25.15" customHeight="1" x14ac:dyDescent="0.25">
      <c r="A107" s="32">
        <f t="shared" si="6"/>
        <v>0</v>
      </c>
      <c r="B107" s="109" t="str">
        <f t="shared" si="6"/>
        <v>285445-5832</v>
      </c>
      <c r="C107" s="109"/>
      <c r="D107" s="109"/>
      <c r="E107" s="109"/>
      <c r="F107" s="109"/>
      <c r="G107" s="109"/>
      <c r="H107" s="110">
        <f t="shared" si="9"/>
        <v>1</v>
      </c>
      <c r="I107" s="110"/>
      <c r="J107" s="110"/>
      <c r="K107" s="111">
        <f t="shared" si="10"/>
        <v>18</v>
      </c>
      <c r="L107" s="111"/>
      <c r="M107" s="112" t="str">
        <f t="shared" si="7"/>
        <v>OL</v>
      </c>
      <c r="N107" s="112"/>
      <c r="O107" s="112"/>
      <c r="P107" s="35">
        <f t="shared" si="8"/>
        <v>0</v>
      </c>
      <c r="R107" s="88"/>
      <c r="S107" s="88"/>
      <c r="T107" s="67"/>
    </row>
    <row r="108" spans="1:22" ht="25.15" customHeight="1" x14ac:dyDescent="0.25">
      <c r="A108" s="32">
        <f t="shared" si="6"/>
        <v>0</v>
      </c>
      <c r="B108" s="109" t="str">
        <f t="shared" si="6"/>
        <v>318242-5832</v>
      </c>
      <c r="C108" s="109"/>
      <c r="D108" s="109"/>
      <c r="E108" s="109"/>
      <c r="F108" s="109"/>
      <c r="G108" s="109"/>
      <c r="H108" s="110">
        <f t="shared" si="9"/>
        <v>10</v>
      </c>
      <c r="I108" s="110"/>
      <c r="J108" s="110"/>
      <c r="K108" s="111">
        <f t="shared" si="10"/>
        <v>654</v>
      </c>
      <c r="L108" s="111"/>
      <c r="M108" s="112" t="str">
        <f t="shared" si="7"/>
        <v>OG</v>
      </c>
      <c r="N108" s="112"/>
      <c r="O108" s="112"/>
      <c r="P108" s="35">
        <f t="shared" si="8"/>
        <v>0</v>
      </c>
      <c r="R108" s="88"/>
      <c r="S108" s="88"/>
      <c r="T108" s="67"/>
    </row>
    <row r="109" spans="1:22" ht="25.15" customHeight="1" x14ac:dyDescent="0.25">
      <c r="A109" s="32">
        <f t="shared" si="6"/>
        <v>0</v>
      </c>
      <c r="B109" s="109" t="str">
        <f t="shared" si="6"/>
        <v>307360-5832</v>
      </c>
      <c r="C109" s="109"/>
      <c r="D109" s="109"/>
      <c r="E109" s="109"/>
      <c r="F109" s="109"/>
      <c r="G109" s="109"/>
      <c r="H109" s="110">
        <f t="shared" si="9"/>
        <v>9</v>
      </c>
      <c r="I109" s="110"/>
      <c r="J109" s="110"/>
      <c r="K109" s="111">
        <f t="shared" si="10"/>
        <v>735</v>
      </c>
      <c r="L109" s="111"/>
      <c r="M109" s="112" t="str">
        <f t="shared" si="7"/>
        <v>OL,OB</v>
      </c>
      <c r="N109" s="112"/>
      <c r="O109" s="112"/>
      <c r="P109" s="35">
        <f t="shared" si="8"/>
        <v>0</v>
      </c>
      <c r="R109" s="88"/>
      <c r="S109" s="88"/>
      <c r="T109" s="67"/>
    </row>
    <row r="110" spans="1:22" ht="25.15" customHeight="1" x14ac:dyDescent="0.25">
      <c r="A110" s="32">
        <f t="shared" si="6"/>
        <v>0</v>
      </c>
      <c r="B110" s="109">
        <f t="shared" si="6"/>
        <v>0</v>
      </c>
      <c r="C110" s="109"/>
      <c r="D110" s="109"/>
      <c r="E110" s="109"/>
      <c r="F110" s="109"/>
      <c r="G110" s="109"/>
      <c r="H110" s="110">
        <f t="shared" si="9"/>
        <v>0</v>
      </c>
      <c r="I110" s="110"/>
      <c r="J110" s="110"/>
      <c r="K110" s="111">
        <f t="shared" si="10"/>
        <v>0</v>
      </c>
      <c r="L110" s="111"/>
      <c r="M110" s="112">
        <f t="shared" si="7"/>
        <v>0</v>
      </c>
      <c r="N110" s="112"/>
      <c r="O110" s="112"/>
      <c r="P110" s="35">
        <f t="shared" si="8"/>
        <v>0</v>
      </c>
      <c r="R110" s="88"/>
      <c r="S110" s="88"/>
      <c r="T110" s="67"/>
    </row>
    <row r="111" spans="1:22" ht="25.15" customHeight="1" x14ac:dyDescent="0.25">
      <c r="A111" s="32">
        <f t="shared" si="6"/>
        <v>0</v>
      </c>
      <c r="B111" s="109">
        <f t="shared" si="6"/>
        <v>0</v>
      </c>
      <c r="C111" s="109"/>
      <c r="D111" s="109"/>
      <c r="E111" s="109"/>
      <c r="F111" s="109"/>
      <c r="G111" s="109"/>
      <c r="H111" s="110">
        <f t="shared" si="9"/>
        <v>0</v>
      </c>
      <c r="I111" s="110"/>
      <c r="J111" s="110"/>
      <c r="K111" s="111">
        <f t="shared" si="10"/>
        <v>0</v>
      </c>
      <c r="L111" s="111"/>
      <c r="M111" s="112">
        <f t="shared" si="7"/>
        <v>0</v>
      </c>
      <c r="N111" s="112"/>
      <c r="O111" s="112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09">
        <f t="shared" si="6"/>
        <v>0</v>
      </c>
      <c r="C112" s="109"/>
      <c r="D112" s="109"/>
      <c r="E112" s="109"/>
      <c r="F112" s="109"/>
      <c r="G112" s="109"/>
      <c r="H112" s="110">
        <f t="shared" si="9"/>
        <v>0</v>
      </c>
      <c r="I112" s="110"/>
      <c r="J112" s="110"/>
      <c r="K112" s="111">
        <f t="shared" si="10"/>
        <v>0</v>
      </c>
      <c r="L112" s="111"/>
      <c r="M112" s="112">
        <f t="shared" si="7"/>
        <v>0</v>
      </c>
      <c r="N112" s="112"/>
      <c r="O112" s="112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09">
        <f t="shared" si="11"/>
        <v>0</v>
      </c>
      <c r="C113" s="109"/>
      <c r="D113" s="109"/>
      <c r="E113" s="109"/>
      <c r="F113" s="109"/>
      <c r="G113" s="109"/>
      <c r="H113" s="110">
        <f t="shared" si="9"/>
        <v>0</v>
      </c>
      <c r="I113" s="110"/>
      <c r="J113" s="110"/>
      <c r="K113" s="111">
        <f t="shared" si="10"/>
        <v>0</v>
      </c>
      <c r="L113" s="111"/>
      <c r="M113" s="112">
        <f t="shared" si="7"/>
        <v>0</v>
      </c>
      <c r="N113" s="112"/>
      <c r="O113" s="112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09">
        <f t="shared" si="11"/>
        <v>0</v>
      </c>
      <c r="C114" s="109"/>
      <c r="D114" s="109"/>
      <c r="E114" s="109"/>
      <c r="F114" s="109"/>
      <c r="G114" s="109"/>
      <c r="H114" s="110">
        <f t="shared" si="9"/>
        <v>0</v>
      </c>
      <c r="I114" s="110"/>
      <c r="J114" s="110"/>
      <c r="K114" s="111">
        <f t="shared" si="10"/>
        <v>0</v>
      </c>
      <c r="L114" s="111"/>
      <c r="M114" s="112">
        <f t="shared" si="7"/>
        <v>0</v>
      </c>
      <c r="N114" s="112"/>
      <c r="O114" s="112"/>
      <c r="P114" s="35">
        <f t="shared" si="8"/>
        <v>0</v>
      </c>
    </row>
    <row r="115" spans="1:22" ht="21.95" customHeight="1" thickBot="1" x14ac:dyDescent="0.3">
      <c r="A115" s="126" t="s">
        <v>17</v>
      </c>
      <c r="B115" s="127"/>
      <c r="C115" s="127"/>
      <c r="D115" s="127"/>
      <c r="E115" s="127"/>
      <c r="F115" s="127"/>
      <c r="G115" s="116"/>
      <c r="H115" s="128">
        <f>SUM(H95:J114)</f>
        <v>286</v>
      </c>
      <c r="I115" s="129"/>
      <c r="J115" s="130"/>
      <c r="K115" s="131">
        <f>SUM(K95:L114)</f>
        <v>20852</v>
      </c>
      <c r="L115" s="132"/>
      <c r="M115" s="133"/>
      <c r="N115" s="134"/>
      <c r="O115" s="135"/>
      <c r="P115" s="19"/>
    </row>
    <row r="117" spans="1:22" ht="31.9" customHeight="1" x14ac:dyDescent="0.25">
      <c r="A117" s="137" t="s">
        <v>22</v>
      </c>
      <c r="B117" s="138"/>
      <c r="C117" s="138"/>
      <c r="D117" s="139" t="str">
        <f>D77</f>
        <v>MD.MOHON</v>
      </c>
      <c r="E117" s="139"/>
      <c r="F117" s="139"/>
      <c r="G117" s="138" t="s">
        <v>23</v>
      </c>
      <c r="H117" s="138"/>
      <c r="I117" s="138"/>
      <c r="J117" s="138"/>
      <c r="K117" s="138"/>
      <c r="L117" s="138"/>
      <c r="M117" s="140" t="str">
        <f>M77</f>
        <v>01828-777862</v>
      </c>
      <c r="N117" s="140"/>
      <c r="O117" s="140"/>
      <c r="P117" s="141"/>
    </row>
    <row r="118" spans="1:22" ht="31.9" customHeight="1" x14ac:dyDescent="0.25">
      <c r="A118" s="142" t="s">
        <v>24</v>
      </c>
      <c r="B118" s="143"/>
      <c r="C118" s="143"/>
      <c r="D118" s="144">
        <f>D78</f>
        <v>20597109</v>
      </c>
      <c r="E118" s="144"/>
      <c r="F118" s="144"/>
      <c r="G118" s="143" t="s">
        <v>25</v>
      </c>
      <c r="H118" s="143"/>
      <c r="I118" s="143"/>
      <c r="J118" s="143"/>
      <c r="K118" s="143"/>
      <c r="L118" s="143"/>
      <c r="M118" s="145" t="str">
        <f>M78</f>
        <v>D.M.TA 11-4375</v>
      </c>
      <c r="N118" s="145"/>
      <c r="O118" s="145"/>
      <c r="P118" s="146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36" t="s">
        <v>18</v>
      </c>
      <c r="B120" s="136"/>
      <c r="C120" s="136"/>
      <c r="D120" s="4"/>
      <c r="E120" s="4"/>
      <c r="F120" s="136" t="s">
        <v>19</v>
      </c>
      <c r="G120" s="136"/>
      <c r="H120" s="6"/>
      <c r="I120" s="6"/>
      <c r="J120" s="6"/>
      <c r="K120" s="4"/>
      <c r="L120" s="136" t="s">
        <v>20</v>
      </c>
      <c r="M120" s="136"/>
      <c r="N120" s="136"/>
      <c r="O120" s="136"/>
      <c r="P120" s="136"/>
    </row>
    <row r="121" spans="1:22" ht="8.25" customHeight="1" x14ac:dyDescent="0.25"/>
    <row r="122" spans="1:22" ht="36.75" customHeight="1" x14ac:dyDescent="0.25">
      <c r="A122" s="37"/>
      <c r="B122" s="37"/>
      <c r="C122" s="37"/>
      <c r="D122" s="38" t="s">
        <v>27</v>
      </c>
      <c r="E122" s="38"/>
      <c r="F122" s="38"/>
      <c r="G122" s="38"/>
      <c r="H122" s="38"/>
      <c r="I122" s="38"/>
      <c r="J122" s="38"/>
      <c r="K122" s="38"/>
      <c r="L122" s="38"/>
      <c r="M122" s="39" t="str">
        <f>M82</f>
        <v>FORM STR 03
REVISION NO 01</v>
      </c>
      <c r="N122" s="39"/>
      <c r="O122" s="39"/>
      <c r="P122" s="39"/>
      <c r="Q122" s="10"/>
    </row>
    <row r="123" spans="1:22" ht="22.15" customHeight="1" x14ac:dyDescent="0.25">
      <c r="A123" s="37"/>
      <c r="B123" s="37"/>
      <c r="C123" s="37"/>
      <c r="D123" s="38"/>
      <c r="E123" s="38"/>
      <c r="F123" s="38"/>
      <c r="G123" s="38"/>
      <c r="H123" s="38"/>
      <c r="I123" s="38"/>
      <c r="J123" s="38"/>
      <c r="K123" s="38"/>
      <c r="L123" s="38"/>
      <c r="M123" s="39"/>
      <c r="N123" s="39"/>
      <c r="O123" s="39"/>
      <c r="P123" s="39"/>
      <c r="Q123" s="10"/>
    </row>
    <row r="124" spans="1:22" ht="17.45" customHeight="1" x14ac:dyDescent="0.25">
      <c r="A124" s="40"/>
      <c r="B124" s="40"/>
      <c r="C124" s="40"/>
      <c r="D124" s="41" t="s">
        <v>21</v>
      </c>
      <c r="E124" s="41"/>
      <c r="F124" s="41"/>
      <c r="G124" s="41"/>
      <c r="H124" s="41"/>
      <c r="I124" s="41"/>
      <c r="J124" s="41"/>
      <c r="K124" s="41"/>
      <c r="L124" s="41"/>
      <c r="M124" s="11"/>
    </row>
    <row r="125" spans="1:22" ht="22.15" customHeight="1" thickBot="1" x14ac:dyDescent="0.35">
      <c r="A125" s="42"/>
      <c r="B125" s="42"/>
      <c r="C125" s="1"/>
      <c r="D125" s="43" t="s">
        <v>92</v>
      </c>
      <c r="E125" s="43"/>
      <c r="F125" s="43"/>
      <c r="G125" s="43"/>
      <c r="H125" s="43"/>
      <c r="I125" s="43"/>
      <c r="J125" s="43"/>
      <c r="K125" s="43"/>
      <c r="L125" s="43"/>
      <c r="M125" s="2"/>
      <c r="N125" s="37"/>
      <c r="O125" s="37"/>
      <c r="P125" s="37"/>
    </row>
    <row r="126" spans="1:22" ht="15.6" customHeight="1" thickBot="1" x14ac:dyDescent="0.35">
      <c r="A126" s="71" t="s">
        <v>9</v>
      </c>
      <c r="B126" s="72"/>
      <c r="C126" s="73" t="str">
        <f>C86</f>
        <v>O535</v>
      </c>
      <c r="D126" s="73"/>
      <c r="E126" s="73"/>
      <c r="F126" s="74"/>
      <c r="G126" s="2"/>
      <c r="H126" s="75" t="s">
        <v>4</v>
      </c>
      <c r="I126" s="76"/>
      <c r="J126" s="76"/>
      <c r="K126" s="8" t="s">
        <v>7</v>
      </c>
      <c r="L126" s="77" t="str">
        <f>L86</f>
        <v>JP 523806</v>
      </c>
      <c r="M126" s="77"/>
      <c r="N126" s="77"/>
      <c r="O126" s="77"/>
      <c r="P126" s="78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52" t="s">
        <v>5</v>
      </c>
      <c r="I127" s="53"/>
      <c r="J127" s="53"/>
      <c r="K127" s="9" t="s">
        <v>7</v>
      </c>
      <c r="L127" s="79">
        <f>L87</f>
        <v>45687</v>
      </c>
      <c r="M127" s="79"/>
      <c r="N127" s="79"/>
      <c r="O127" s="79"/>
      <c r="P127" s="80"/>
      <c r="R127" s="88"/>
      <c r="S127" s="88"/>
      <c r="T127" s="147"/>
      <c r="U127" s="26"/>
      <c r="V127" s="147"/>
    </row>
    <row r="128" spans="1:22" ht="18" customHeight="1" x14ac:dyDescent="0.3">
      <c r="A128" s="46" t="str">
        <f>A88</f>
        <v>Vertex Off-Dock Logistics Services Ltd.
1443/1509, Old Airport Road, Katghar, North Patenga,
Chattogram 4204, Bangladesh.</v>
      </c>
      <c r="B128" s="47"/>
      <c r="C128" s="47"/>
      <c r="D128" s="47"/>
      <c r="E128" s="47"/>
      <c r="F128" s="48"/>
      <c r="G128" s="2"/>
      <c r="H128" s="52" t="s">
        <v>8</v>
      </c>
      <c r="I128" s="53"/>
      <c r="J128" s="53"/>
      <c r="K128" s="9" t="s">
        <v>7</v>
      </c>
      <c r="L128" s="54" t="str">
        <f>L88</f>
        <v>SEA</v>
      </c>
      <c r="M128" s="54"/>
      <c r="N128" s="54"/>
      <c r="O128" s="54"/>
      <c r="P128" s="55"/>
      <c r="R128" s="88"/>
      <c r="S128" s="88"/>
      <c r="T128" s="148"/>
      <c r="U128" s="26"/>
      <c r="V128" s="148"/>
    </row>
    <row r="129" spans="1:22" ht="17.25" x14ac:dyDescent="0.3">
      <c r="A129" s="46"/>
      <c r="B129" s="47"/>
      <c r="C129" s="47"/>
      <c r="D129" s="47"/>
      <c r="E129" s="47"/>
      <c r="F129" s="48"/>
      <c r="G129" s="2"/>
      <c r="H129" s="56" t="s">
        <v>6</v>
      </c>
      <c r="I129" s="57"/>
      <c r="J129" s="57"/>
      <c r="K129" s="62" t="s">
        <v>7</v>
      </c>
      <c r="L129" s="65" t="str">
        <f>L89</f>
        <v>M/S. Kabir &amp; Co.
1104DT Road West Madarbari,
Chattogram, Bangladesh.</v>
      </c>
      <c r="M129" s="65"/>
      <c r="N129" s="65"/>
      <c r="O129" s="65"/>
      <c r="P129" s="66"/>
      <c r="R129" s="88"/>
      <c r="S129" s="88"/>
      <c r="T129" s="148"/>
      <c r="U129" s="26"/>
      <c r="V129" s="148"/>
    </row>
    <row r="130" spans="1:22" ht="18" thickBot="1" x14ac:dyDescent="0.35">
      <c r="A130" s="49"/>
      <c r="B130" s="50"/>
      <c r="C130" s="50"/>
      <c r="D130" s="50"/>
      <c r="E130" s="50"/>
      <c r="F130" s="51"/>
      <c r="G130" s="2"/>
      <c r="H130" s="58"/>
      <c r="I130" s="59"/>
      <c r="J130" s="59"/>
      <c r="K130" s="63"/>
      <c r="L130" s="67"/>
      <c r="M130" s="67"/>
      <c r="N130" s="67"/>
      <c r="O130" s="67"/>
      <c r="P130" s="68"/>
      <c r="R130" s="88"/>
      <c r="S130" s="88"/>
      <c r="T130" s="147"/>
      <c r="U130" s="26"/>
      <c r="V130" s="147"/>
    </row>
    <row r="131" spans="1:22" ht="18" customHeight="1" thickBot="1" x14ac:dyDescent="0.35">
      <c r="A131" s="42"/>
      <c r="B131" s="42"/>
      <c r="C131" s="1"/>
      <c r="D131" s="2"/>
      <c r="E131" s="2"/>
      <c r="F131" s="2"/>
      <c r="G131" s="2"/>
      <c r="H131" s="60"/>
      <c r="I131" s="61"/>
      <c r="J131" s="61"/>
      <c r="K131" s="64"/>
      <c r="L131" s="69"/>
      <c r="M131" s="69"/>
      <c r="N131" s="69"/>
      <c r="O131" s="69"/>
      <c r="P131" s="70"/>
      <c r="R131" s="88"/>
      <c r="S131" s="88"/>
      <c r="T131" s="147"/>
      <c r="U131" s="26"/>
      <c r="V131" s="148"/>
    </row>
    <row r="132" spans="1:22" ht="16.149999999999999" customHeight="1" x14ac:dyDescent="0.25">
      <c r="A132" s="103" t="s">
        <v>12</v>
      </c>
      <c r="B132" s="104"/>
      <c r="C132" s="105" t="s">
        <v>0</v>
      </c>
      <c r="D132" s="105"/>
      <c r="E132" s="105"/>
      <c r="F132" s="105"/>
      <c r="G132" s="105"/>
      <c r="H132" s="81" t="s">
        <v>1</v>
      </c>
      <c r="I132" s="82"/>
      <c r="J132" s="82"/>
      <c r="K132" s="82"/>
      <c r="L132" s="83"/>
      <c r="M132" s="84" t="s">
        <v>16</v>
      </c>
      <c r="N132" s="85"/>
      <c r="O132" s="86"/>
      <c r="P132" s="149" t="s">
        <v>3</v>
      </c>
      <c r="R132" s="88"/>
      <c r="S132" s="88"/>
      <c r="T132" s="147"/>
      <c r="U132" s="26"/>
      <c r="V132" s="148"/>
    </row>
    <row r="133" spans="1:22" ht="16.149999999999999" customHeight="1" x14ac:dyDescent="0.25">
      <c r="A133" s="3" t="s">
        <v>13</v>
      </c>
      <c r="B133" s="33">
        <f>B93</f>
        <v>1</v>
      </c>
      <c r="C133" s="96" t="str">
        <f>C93</f>
        <v>Delivery of Readymade Garments</v>
      </c>
      <c r="D133" s="96"/>
      <c r="E133" s="96"/>
      <c r="F133" s="96"/>
      <c r="G133" s="96"/>
      <c r="H133" s="165" t="s">
        <v>2</v>
      </c>
      <c r="I133" s="166"/>
      <c r="J133" s="167"/>
      <c r="K133" s="165" t="s">
        <v>15</v>
      </c>
      <c r="L133" s="167"/>
      <c r="M133" s="87"/>
      <c r="N133" s="88"/>
      <c r="O133" s="89"/>
      <c r="P133" s="150"/>
      <c r="R133" s="88"/>
      <c r="S133" s="88"/>
      <c r="T133" s="147"/>
      <c r="V133" s="147"/>
    </row>
    <row r="134" spans="1:22" ht="16.149999999999999" customHeight="1" thickBot="1" x14ac:dyDescent="0.3">
      <c r="A134" s="113" t="s">
        <v>11</v>
      </c>
      <c r="B134" s="114"/>
      <c r="C134" s="115" t="str">
        <f>C94</f>
        <v>H &amp; M</v>
      </c>
      <c r="D134" s="116"/>
      <c r="E134" s="117" t="s">
        <v>88</v>
      </c>
      <c r="F134" s="118"/>
      <c r="G134" s="114"/>
      <c r="H134" s="100"/>
      <c r="I134" s="101"/>
      <c r="J134" s="102"/>
      <c r="K134" s="100"/>
      <c r="L134" s="102"/>
      <c r="M134" s="90"/>
      <c r="N134" s="91"/>
      <c r="O134" s="92"/>
      <c r="P134" s="151"/>
      <c r="R134" s="88"/>
      <c r="S134" s="88"/>
      <c r="T134" s="147"/>
      <c r="V134" s="148"/>
    </row>
    <row r="135" spans="1:22" ht="25.15" customHeight="1" x14ac:dyDescent="0.25">
      <c r="A135" s="31">
        <f>A95</f>
        <v>0</v>
      </c>
      <c r="B135" s="119">
        <f>B95</f>
        <v>0</v>
      </c>
      <c r="C135" s="119"/>
      <c r="D135" s="119"/>
      <c r="E135" s="119"/>
      <c r="F135" s="119"/>
      <c r="G135" s="119"/>
      <c r="H135" s="160">
        <f>H95</f>
        <v>0</v>
      </c>
      <c r="I135" s="161"/>
      <c r="J135" s="162"/>
      <c r="K135" s="163">
        <f>K95</f>
        <v>0</v>
      </c>
      <c r="L135" s="164"/>
      <c r="M135" s="106">
        <f>M95</f>
        <v>0</v>
      </c>
      <c r="N135" s="107"/>
      <c r="O135" s="108"/>
      <c r="P135" s="34" t="str">
        <f>P95</f>
        <v xml:space="preserve">EMPTY CTN </v>
      </c>
      <c r="R135" s="88"/>
      <c r="S135" s="88"/>
      <c r="T135" s="147"/>
      <c r="V135" s="148"/>
    </row>
    <row r="136" spans="1:22" ht="25.15" customHeight="1" x14ac:dyDescent="0.25">
      <c r="A136" s="32">
        <f>A96</f>
        <v>0</v>
      </c>
      <c r="B136" s="109" t="str">
        <f>B96</f>
        <v>307355-5832</v>
      </c>
      <c r="C136" s="109"/>
      <c r="D136" s="109"/>
      <c r="E136" s="109"/>
      <c r="F136" s="109"/>
      <c r="G136" s="109"/>
      <c r="H136" s="152">
        <f>H96</f>
        <v>1</v>
      </c>
      <c r="I136" s="153"/>
      <c r="J136" s="154"/>
      <c r="K136" s="155">
        <f>K96</f>
        <v>36</v>
      </c>
      <c r="L136" s="156"/>
      <c r="M136" s="157" t="str">
        <f>M96</f>
        <v>OL</v>
      </c>
      <c r="N136" s="158"/>
      <c r="O136" s="159"/>
      <c r="P136" s="35" t="str">
        <f>P96</f>
        <v>10 PS</v>
      </c>
      <c r="R136" s="88"/>
      <c r="S136" s="88"/>
      <c r="T136" s="67"/>
      <c r="V136" s="147"/>
    </row>
    <row r="137" spans="1:22" ht="25.15" customHeight="1" x14ac:dyDescent="0.25">
      <c r="A137" s="32">
        <f t="shared" ref="A137:B152" si="12">A97</f>
        <v>0</v>
      </c>
      <c r="B137" s="109" t="str">
        <f t="shared" si="12"/>
        <v>307987-5832</v>
      </c>
      <c r="C137" s="109"/>
      <c r="D137" s="109"/>
      <c r="E137" s="109"/>
      <c r="F137" s="109"/>
      <c r="G137" s="109"/>
      <c r="H137" s="152">
        <f>H97</f>
        <v>2</v>
      </c>
      <c r="I137" s="153"/>
      <c r="J137" s="154"/>
      <c r="K137" s="155">
        <f>K97</f>
        <v>153</v>
      </c>
      <c r="L137" s="156"/>
      <c r="M137" s="157" t="str">
        <f t="shared" ref="M137:M154" si="13">M97</f>
        <v>PA</v>
      </c>
      <c r="N137" s="158"/>
      <c r="O137" s="159"/>
      <c r="P137" s="35">
        <f t="shared" ref="P137:P154" si="14">P97</f>
        <v>0</v>
      </c>
      <c r="R137" s="88"/>
      <c r="S137" s="88"/>
      <c r="T137" s="67"/>
      <c r="V137" s="148"/>
    </row>
    <row r="138" spans="1:22" ht="25.15" customHeight="1" x14ac:dyDescent="0.25">
      <c r="A138" s="32">
        <f t="shared" si="12"/>
        <v>0</v>
      </c>
      <c r="B138" s="109" t="str">
        <f t="shared" si="12"/>
        <v>300635-5832</v>
      </c>
      <c r="C138" s="109"/>
      <c r="D138" s="109"/>
      <c r="E138" s="109"/>
      <c r="F138" s="109"/>
      <c r="G138" s="109"/>
      <c r="H138" s="152">
        <f t="shared" ref="H138:H154" si="15">H98</f>
        <v>49</v>
      </c>
      <c r="I138" s="153"/>
      <c r="J138" s="154"/>
      <c r="K138" s="155">
        <f t="shared" ref="K138:K154" si="16">K98</f>
        <v>3685</v>
      </c>
      <c r="L138" s="156"/>
      <c r="M138" s="157" t="str">
        <f t="shared" si="13"/>
        <v>GB</v>
      </c>
      <c r="N138" s="158"/>
      <c r="O138" s="159"/>
      <c r="P138" s="35">
        <f t="shared" si="14"/>
        <v>0</v>
      </c>
      <c r="R138" s="88"/>
      <c r="S138" s="88"/>
      <c r="T138" s="67"/>
      <c r="V138" s="148"/>
    </row>
    <row r="139" spans="1:22" ht="25.15" customHeight="1" x14ac:dyDescent="0.25">
      <c r="A139" s="32">
        <f t="shared" si="12"/>
        <v>0</v>
      </c>
      <c r="B139" s="109" t="str">
        <f t="shared" si="12"/>
        <v>307361-5832</v>
      </c>
      <c r="C139" s="109"/>
      <c r="D139" s="109"/>
      <c r="E139" s="109"/>
      <c r="F139" s="109"/>
      <c r="G139" s="109"/>
      <c r="H139" s="152">
        <f t="shared" si="15"/>
        <v>2</v>
      </c>
      <c r="I139" s="153"/>
      <c r="J139" s="154"/>
      <c r="K139" s="155">
        <f t="shared" si="16"/>
        <v>145</v>
      </c>
      <c r="L139" s="156"/>
      <c r="M139" s="157" t="str">
        <f t="shared" si="13"/>
        <v>OL</v>
      </c>
      <c r="N139" s="158"/>
      <c r="O139" s="159"/>
      <c r="P139" s="35">
        <f t="shared" si="14"/>
        <v>0</v>
      </c>
      <c r="R139" s="88"/>
      <c r="S139" s="88"/>
      <c r="T139" s="67"/>
      <c r="V139" s="147"/>
    </row>
    <row r="140" spans="1:22" ht="25.15" customHeight="1" x14ac:dyDescent="0.25">
      <c r="A140" s="32">
        <f t="shared" si="12"/>
        <v>0</v>
      </c>
      <c r="B140" s="109" t="str">
        <f t="shared" si="12"/>
        <v>299581-5828</v>
      </c>
      <c r="C140" s="109"/>
      <c r="D140" s="109"/>
      <c r="E140" s="109"/>
      <c r="F140" s="109"/>
      <c r="G140" s="109"/>
      <c r="H140" s="152">
        <f t="shared" si="15"/>
        <v>133</v>
      </c>
      <c r="I140" s="153"/>
      <c r="J140" s="154"/>
      <c r="K140" s="155">
        <f t="shared" si="16"/>
        <v>11089</v>
      </c>
      <c r="L140" s="156"/>
      <c r="M140" s="157" t="str">
        <f t="shared" si="13"/>
        <v>CN</v>
      </c>
      <c r="N140" s="158"/>
      <c r="O140" s="159"/>
      <c r="P140" s="35">
        <f t="shared" si="14"/>
        <v>0</v>
      </c>
      <c r="R140" s="88"/>
      <c r="S140" s="88"/>
      <c r="T140" s="67"/>
      <c r="V140" s="148"/>
    </row>
    <row r="141" spans="1:22" ht="25.15" customHeight="1" x14ac:dyDescent="0.25">
      <c r="A141" s="32">
        <f t="shared" si="12"/>
        <v>0</v>
      </c>
      <c r="B141" s="109" t="str">
        <f t="shared" si="12"/>
        <v>306972-5828</v>
      </c>
      <c r="C141" s="109"/>
      <c r="D141" s="109"/>
      <c r="E141" s="109"/>
      <c r="F141" s="109"/>
      <c r="G141" s="109"/>
      <c r="H141" s="152">
        <f t="shared" si="15"/>
        <v>1</v>
      </c>
      <c r="I141" s="153"/>
      <c r="J141" s="154"/>
      <c r="K141" s="155">
        <f t="shared" si="16"/>
        <v>76</v>
      </c>
      <c r="L141" s="156"/>
      <c r="M141" s="157" t="str">
        <f t="shared" si="13"/>
        <v>IX-65</v>
      </c>
      <c r="N141" s="158"/>
      <c r="O141" s="159"/>
      <c r="P141" s="35">
        <f t="shared" si="14"/>
        <v>0</v>
      </c>
      <c r="R141" s="88"/>
      <c r="S141" s="88"/>
      <c r="T141" s="67"/>
      <c r="V141" s="148"/>
    </row>
    <row r="142" spans="1:22" ht="25.15" customHeight="1" x14ac:dyDescent="0.25">
      <c r="A142" s="32">
        <f t="shared" si="12"/>
        <v>0</v>
      </c>
      <c r="B142" s="109" t="str">
        <f t="shared" si="12"/>
        <v>304153-7272</v>
      </c>
      <c r="C142" s="109"/>
      <c r="D142" s="109"/>
      <c r="E142" s="109"/>
      <c r="F142" s="109"/>
      <c r="G142" s="109"/>
      <c r="H142" s="152">
        <f t="shared" si="15"/>
        <v>49</v>
      </c>
      <c r="I142" s="153"/>
      <c r="J142" s="154"/>
      <c r="K142" s="155">
        <f t="shared" si="16"/>
        <v>2489</v>
      </c>
      <c r="L142" s="156"/>
      <c r="M142" s="157" t="str">
        <f t="shared" si="13"/>
        <v>GB,PA</v>
      </c>
      <c r="N142" s="158"/>
      <c r="O142" s="159"/>
      <c r="P142" s="35">
        <f t="shared" si="14"/>
        <v>0</v>
      </c>
      <c r="R142" s="88"/>
      <c r="S142" s="88"/>
      <c r="T142" s="67"/>
    </row>
    <row r="143" spans="1:22" ht="25.15" customHeight="1" x14ac:dyDescent="0.25">
      <c r="A143" s="32">
        <f t="shared" si="12"/>
        <v>0</v>
      </c>
      <c r="B143" s="109" t="str">
        <f t="shared" si="12"/>
        <v>319437-5832</v>
      </c>
      <c r="C143" s="109"/>
      <c r="D143" s="109"/>
      <c r="E143" s="109"/>
      <c r="F143" s="109"/>
      <c r="G143" s="109"/>
      <c r="H143" s="152">
        <f t="shared" si="15"/>
        <v>12</v>
      </c>
      <c r="I143" s="153"/>
      <c r="J143" s="154"/>
      <c r="K143" s="155">
        <f t="shared" si="16"/>
        <v>698</v>
      </c>
      <c r="L143" s="156"/>
      <c r="M143" s="157" t="str">
        <f t="shared" si="13"/>
        <v>OG</v>
      </c>
      <c r="N143" s="158"/>
      <c r="O143" s="159"/>
      <c r="P143" s="35">
        <f t="shared" si="14"/>
        <v>0</v>
      </c>
      <c r="R143" s="88"/>
      <c r="S143" s="88"/>
      <c r="T143" s="67"/>
    </row>
    <row r="144" spans="1:22" ht="25.15" customHeight="1" x14ac:dyDescent="0.25">
      <c r="A144" s="32">
        <f t="shared" si="12"/>
        <v>0</v>
      </c>
      <c r="B144" s="109" t="str">
        <f t="shared" si="12"/>
        <v>291816-5832</v>
      </c>
      <c r="C144" s="109"/>
      <c r="D144" s="109"/>
      <c r="E144" s="109"/>
      <c r="F144" s="109"/>
      <c r="G144" s="109"/>
      <c r="H144" s="152">
        <f t="shared" si="15"/>
        <v>1</v>
      </c>
      <c r="I144" s="153"/>
      <c r="J144" s="154"/>
      <c r="K144" s="155">
        <f t="shared" si="16"/>
        <v>50</v>
      </c>
      <c r="L144" s="156"/>
      <c r="M144" s="157" t="str">
        <f t="shared" si="13"/>
        <v>OL</v>
      </c>
      <c r="N144" s="158"/>
      <c r="O144" s="159"/>
      <c r="P144" s="35">
        <f t="shared" si="14"/>
        <v>0</v>
      </c>
      <c r="R144" s="88"/>
      <c r="S144" s="88"/>
      <c r="T144" s="67"/>
    </row>
    <row r="145" spans="1:20" ht="25.15" customHeight="1" x14ac:dyDescent="0.25">
      <c r="A145" s="32">
        <f t="shared" si="12"/>
        <v>0</v>
      </c>
      <c r="B145" s="109" t="str">
        <f t="shared" si="12"/>
        <v>283581-5832</v>
      </c>
      <c r="C145" s="109"/>
      <c r="D145" s="109"/>
      <c r="E145" s="109"/>
      <c r="F145" s="109"/>
      <c r="G145" s="109"/>
      <c r="H145" s="152">
        <f t="shared" si="15"/>
        <v>15</v>
      </c>
      <c r="I145" s="153"/>
      <c r="J145" s="154"/>
      <c r="K145" s="155">
        <f t="shared" si="16"/>
        <v>1014</v>
      </c>
      <c r="L145" s="156"/>
      <c r="M145" s="157" t="str">
        <f t="shared" si="13"/>
        <v>OB</v>
      </c>
      <c r="N145" s="158"/>
      <c r="O145" s="159"/>
      <c r="P145" s="35">
        <f t="shared" si="14"/>
        <v>0</v>
      </c>
      <c r="R145" s="88"/>
      <c r="S145" s="88"/>
      <c r="T145" s="67"/>
    </row>
    <row r="146" spans="1:20" ht="25.15" customHeight="1" x14ac:dyDescent="0.25">
      <c r="A146" s="32">
        <f t="shared" si="12"/>
        <v>0</v>
      </c>
      <c r="B146" s="109" t="str">
        <f t="shared" si="12"/>
        <v>302565-7952</v>
      </c>
      <c r="C146" s="109"/>
      <c r="D146" s="109"/>
      <c r="E146" s="109"/>
      <c r="F146" s="109"/>
      <c r="G146" s="109"/>
      <c r="H146" s="152">
        <f t="shared" si="15"/>
        <v>1</v>
      </c>
      <c r="I146" s="153"/>
      <c r="J146" s="154"/>
      <c r="K146" s="155">
        <f t="shared" si="16"/>
        <v>10</v>
      </c>
      <c r="L146" s="156"/>
      <c r="M146" s="157" t="str">
        <f t="shared" si="13"/>
        <v>PA</v>
      </c>
      <c r="N146" s="158"/>
      <c r="O146" s="159"/>
      <c r="P146" s="35">
        <f t="shared" si="14"/>
        <v>0</v>
      </c>
      <c r="R146" s="88"/>
      <c r="S146" s="88"/>
      <c r="T146" s="67"/>
    </row>
    <row r="147" spans="1:20" ht="25.15" customHeight="1" x14ac:dyDescent="0.25">
      <c r="A147" s="32">
        <f t="shared" si="12"/>
        <v>0</v>
      </c>
      <c r="B147" s="109" t="str">
        <f t="shared" si="12"/>
        <v>285445-5832</v>
      </c>
      <c r="C147" s="109"/>
      <c r="D147" s="109"/>
      <c r="E147" s="109"/>
      <c r="F147" s="109"/>
      <c r="G147" s="109"/>
      <c r="H147" s="152">
        <f t="shared" si="15"/>
        <v>1</v>
      </c>
      <c r="I147" s="153"/>
      <c r="J147" s="154"/>
      <c r="K147" s="155">
        <f t="shared" si="16"/>
        <v>18</v>
      </c>
      <c r="L147" s="156"/>
      <c r="M147" s="157" t="str">
        <f t="shared" si="13"/>
        <v>OL</v>
      </c>
      <c r="N147" s="158"/>
      <c r="O147" s="159"/>
      <c r="P147" s="35">
        <f t="shared" si="14"/>
        <v>0</v>
      </c>
      <c r="R147" s="88"/>
      <c r="S147" s="88"/>
      <c r="T147" s="67"/>
    </row>
    <row r="148" spans="1:20" ht="25.15" customHeight="1" x14ac:dyDescent="0.25">
      <c r="A148" s="32">
        <f t="shared" si="12"/>
        <v>0</v>
      </c>
      <c r="B148" s="109" t="str">
        <f t="shared" si="12"/>
        <v>318242-5832</v>
      </c>
      <c r="C148" s="109"/>
      <c r="D148" s="109"/>
      <c r="E148" s="109"/>
      <c r="F148" s="109"/>
      <c r="G148" s="109"/>
      <c r="H148" s="152">
        <f t="shared" si="15"/>
        <v>10</v>
      </c>
      <c r="I148" s="153"/>
      <c r="J148" s="154"/>
      <c r="K148" s="155">
        <f t="shared" si="16"/>
        <v>654</v>
      </c>
      <c r="L148" s="156"/>
      <c r="M148" s="157" t="str">
        <f t="shared" si="13"/>
        <v>OG</v>
      </c>
      <c r="N148" s="158"/>
      <c r="O148" s="159"/>
      <c r="P148" s="35">
        <f t="shared" si="14"/>
        <v>0</v>
      </c>
      <c r="R148" s="88"/>
      <c r="S148" s="88"/>
      <c r="T148" s="67"/>
    </row>
    <row r="149" spans="1:20" ht="25.15" customHeight="1" x14ac:dyDescent="0.25">
      <c r="A149" s="32">
        <f t="shared" si="12"/>
        <v>0</v>
      </c>
      <c r="B149" s="109" t="str">
        <f t="shared" si="12"/>
        <v>307360-5832</v>
      </c>
      <c r="C149" s="109"/>
      <c r="D149" s="109"/>
      <c r="E149" s="109"/>
      <c r="F149" s="109"/>
      <c r="G149" s="109"/>
      <c r="H149" s="152">
        <f t="shared" si="15"/>
        <v>9</v>
      </c>
      <c r="I149" s="153"/>
      <c r="J149" s="154"/>
      <c r="K149" s="155">
        <f t="shared" si="16"/>
        <v>735</v>
      </c>
      <c r="L149" s="156"/>
      <c r="M149" s="157" t="str">
        <f t="shared" si="13"/>
        <v>OL,OB</v>
      </c>
      <c r="N149" s="158"/>
      <c r="O149" s="159"/>
      <c r="P149" s="35">
        <f t="shared" si="14"/>
        <v>0</v>
      </c>
      <c r="R149" s="88"/>
      <c r="S149" s="88"/>
      <c r="T149" s="67"/>
    </row>
    <row r="150" spans="1:20" ht="25.15" customHeight="1" x14ac:dyDescent="0.25">
      <c r="A150" s="32">
        <f t="shared" si="12"/>
        <v>0</v>
      </c>
      <c r="B150" s="109">
        <f t="shared" si="12"/>
        <v>0</v>
      </c>
      <c r="C150" s="109"/>
      <c r="D150" s="109"/>
      <c r="E150" s="109"/>
      <c r="F150" s="109"/>
      <c r="G150" s="109"/>
      <c r="H150" s="152">
        <f t="shared" si="15"/>
        <v>0</v>
      </c>
      <c r="I150" s="153"/>
      <c r="J150" s="154"/>
      <c r="K150" s="155">
        <f t="shared" si="16"/>
        <v>0</v>
      </c>
      <c r="L150" s="156"/>
      <c r="M150" s="157">
        <f t="shared" si="13"/>
        <v>0</v>
      </c>
      <c r="N150" s="158"/>
      <c r="O150" s="159"/>
      <c r="P150" s="35">
        <f t="shared" si="14"/>
        <v>0</v>
      </c>
      <c r="R150" s="88"/>
      <c r="S150" s="88"/>
      <c r="T150" s="67"/>
    </row>
    <row r="151" spans="1:20" ht="25.15" customHeight="1" x14ac:dyDescent="0.25">
      <c r="A151" s="32">
        <f t="shared" si="12"/>
        <v>0</v>
      </c>
      <c r="B151" s="109">
        <f t="shared" si="12"/>
        <v>0</v>
      </c>
      <c r="C151" s="109"/>
      <c r="D151" s="109"/>
      <c r="E151" s="109"/>
      <c r="F151" s="109"/>
      <c r="G151" s="109"/>
      <c r="H151" s="152">
        <f t="shared" si="15"/>
        <v>0</v>
      </c>
      <c r="I151" s="153"/>
      <c r="J151" s="154"/>
      <c r="K151" s="155">
        <f t="shared" si="16"/>
        <v>0</v>
      </c>
      <c r="L151" s="156"/>
      <c r="M151" s="157">
        <f t="shared" si="13"/>
        <v>0</v>
      </c>
      <c r="N151" s="158"/>
      <c r="O151" s="159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09">
        <f t="shared" si="12"/>
        <v>0</v>
      </c>
      <c r="C152" s="109"/>
      <c r="D152" s="109"/>
      <c r="E152" s="109"/>
      <c r="F152" s="109"/>
      <c r="G152" s="109"/>
      <c r="H152" s="152">
        <f t="shared" si="15"/>
        <v>0</v>
      </c>
      <c r="I152" s="153"/>
      <c r="J152" s="154"/>
      <c r="K152" s="155">
        <f t="shared" si="16"/>
        <v>0</v>
      </c>
      <c r="L152" s="156"/>
      <c r="M152" s="157">
        <f t="shared" si="13"/>
        <v>0</v>
      </c>
      <c r="N152" s="158"/>
      <c r="O152" s="159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09">
        <f t="shared" si="17"/>
        <v>0</v>
      </c>
      <c r="C153" s="109"/>
      <c r="D153" s="109"/>
      <c r="E153" s="109"/>
      <c r="F153" s="109"/>
      <c r="G153" s="109"/>
      <c r="H153" s="152">
        <f t="shared" si="15"/>
        <v>0</v>
      </c>
      <c r="I153" s="153"/>
      <c r="J153" s="154"/>
      <c r="K153" s="155">
        <f t="shared" si="16"/>
        <v>0</v>
      </c>
      <c r="L153" s="156"/>
      <c r="M153" s="157">
        <f t="shared" si="13"/>
        <v>0</v>
      </c>
      <c r="N153" s="158"/>
      <c r="O153" s="159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09">
        <f t="shared" si="17"/>
        <v>0</v>
      </c>
      <c r="C154" s="109"/>
      <c r="D154" s="109"/>
      <c r="E154" s="109"/>
      <c r="F154" s="109"/>
      <c r="G154" s="109"/>
      <c r="H154" s="152">
        <f t="shared" si="15"/>
        <v>0</v>
      </c>
      <c r="I154" s="153"/>
      <c r="J154" s="154"/>
      <c r="K154" s="155">
        <f t="shared" si="16"/>
        <v>0</v>
      </c>
      <c r="L154" s="156"/>
      <c r="M154" s="157">
        <f t="shared" si="13"/>
        <v>0</v>
      </c>
      <c r="N154" s="158"/>
      <c r="O154" s="159"/>
      <c r="P154" s="35">
        <f t="shared" si="14"/>
        <v>0</v>
      </c>
    </row>
    <row r="155" spans="1:20" ht="21.95" customHeight="1" thickBot="1" x14ac:dyDescent="0.3">
      <c r="A155" s="126" t="s">
        <v>17</v>
      </c>
      <c r="B155" s="127"/>
      <c r="C155" s="127"/>
      <c r="D155" s="127"/>
      <c r="E155" s="127"/>
      <c r="F155" s="127"/>
      <c r="G155" s="116"/>
      <c r="H155" s="128">
        <f>SUM(H135:J154)</f>
        <v>286</v>
      </c>
      <c r="I155" s="168"/>
      <c r="J155" s="169"/>
      <c r="K155" s="131">
        <f>SUM(K135:L154)</f>
        <v>20852</v>
      </c>
      <c r="L155" s="132"/>
      <c r="M155" s="133"/>
      <c r="N155" s="134"/>
      <c r="O155" s="135"/>
      <c r="P155" s="19"/>
    </row>
    <row r="157" spans="1:20" ht="31.9" customHeight="1" x14ac:dyDescent="0.25">
      <c r="A157" s="137" t="s">
        <v>22</v>
      </c>
      <c r="B157" s="138"/>
      <c r="C157" s="138"/>
      <c r="D157" s="139" t="str">
        <f>D117</f>
        <v>MD.MOHON</v>
      </c>
      <c r="E157" s="139"/>
      <c r="F157" s="139"/>
      <c r="G157" s="138" t="s">
        <v>23</v>
      </c>
      <c r="H157" s="138"/>
      <c r="I157" s="138"/>
      <c r="J157" s="138"/>
      <c r="K157" s="138"/>
      <c r="L157" s="138"/>
      <c r="M157" s="140" t="str">
        <f>M117</f>
        <v>01828-777862</v>
      </c>
      <c r="N157" s="140"/>
      <c r="O157" s="140"/>
      <c r="P157" s="141"/>
    </row>
    <row r="158" spans="1:20" ht="31.9" customHeight="1" x14ac:dyDescent="0.25">
      <c r="A158" s="142" t="s">
        <v>24</v>
      </c>
      <c r="B158" s="143"/>
      <c r="C158" s="143"/>
      <c r="D158" s="144">
        <f>D118</f>
        <v>20597109</v>
      </c>
      <c r="E158" s="144"/>
      <c r="F158" s="144"/>
      <c r="G158" s="143" t="s">
        <v>25</v>
      </c>
      <c r="H158" s="143"/>
      <c r="I158" s="143"/>
      <c r="J158" s="143"/>
      <c r="K158" s="143"/>
      <c r="L158" s="143"/>
      <c r="M158" s="145" t="str">
        <f>M118</f>
        <v>D.M.TA 11-4375</v>
      </c>
      <c r="N158" s="145"/>
      <c r="O158" s="145"/>
      <c r="P158" s="146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36" t="s">
        <v>18</v>
      </c>
      <c r="B160" s="136"/>
      <c r="C160" s="136"/>
      <c r="D160" s="4"/>
      <c r="E160" s="4"/>
      <c r="F160" s="136" t="s">
        <v>19</v>
      </c>
      <c r="G160" s="136"/>
      <c r="H160" s="6"/>
      <c r="I160" s="6"/>
      <c r="J160" s="6"/>
      <c r="K160" s="4"/>
      <c r="L160" s="136" t="s">
        <v>20</v>
      </c>
      <c r="M160" s="136"/>
      <c r="N160" s="136"/>
      <c r="O160" s="136"/>
      <c r="P160" s="136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27:G27"/>
    <mergeCell ref="H27:J27"/>
    <mergeCell ref="K27:L27"/>
    <mergeCell ref="M27:O27"/>
    <mergeCell ref="B26:G26"/>
    <mergeCell ref="H26:J26"/>
    <mergeCell ref="K26:L26"/>
    <mergeCell ref="M26:O26"/>
    <mergeCell ref="B24:G24"/>
    <mergeCell ref="H24:J24"/>
    <mergeCell ref="K24:L24"/>
    <mergeCell ref="M24:O24"/>
    <mergeCell ref="B25:G25"/>
    <mergeCell ref="H25:J25"/>
    <mergeCell ref="K25:L25"/>
    <mergeCell ref="M25:O25"/>
    <mergeCell ref="B23:G23"/>
    <mergeCell ref="H23:J23"/>
    <mergeCell ref="K23:L23"/>
    <mergeCell ref="M23:O23"/>
    <mergeCell ref="K21:L21"/>
    <mergeCell ref="M21:O21"/>
    <mergeCell ref="B22:G22"/>
    <mergeCell ref="H22:J22"/>
    <mergeCell ref="K22:L22"/>
    <mergeCell ref="M22:O22"/>
    <mergeCell ref="V19:V21"/>
    <mergeCell ref="B20:G20"/>
    <mergeCell ref="H20:J20"/>
    <mergeCell ref="K20:L20"/>
    <mergeCell ref="M20:O20"/>
    <mergeCell ref="B21:G21"/>
    <mergeCell ref="H21:J21"/>
    <mergeCell ref="K18:L18"/>
    <mergeCell ref="M18:O18"/>
    <mergeCell ref="B19:G19"/>
    <mergeCell ref="H19:J19"/>
    <mergeCell ref="K19:L19"/>
    <mergeCell ref="M19:O19"/>
    <mergeCell ref="V16:V18"/>
    <mergeCell ref="B17:G17"/>
    <mergeCell ref="H17:J17"/>
    <mergeCell ref="K17:L17"/>
    <mergeCell ref="M17:O17"/>
    <mergeCell ref="B18:G18"/>
    <mergeCell ref="H18:J18"/>
    <mergeCell ref="M15:O15"/>
    <mergeCell ref="B16:G16"/>
    <mergeCell ref="H16:J16"/>
    <mergeCell ref="K16:L16"/>
    <mergeCell ref="M16:O16"/>
    <mergeCell ref="V13:V15"/>
    <mergeCell ref="A14:B14"/>
    <mergeCell ref="C14:D14"/>
    <mergeCell ref="E14:G14"/>
    <mergeCell ref="B15:G15"/>
    <mergeCell ref="H15:J15"/>
    <mergeCell ref="K15:L15"/>
    <mergeCell ref="H12:L12"/>
    <mergeCell ref="M12:O14"/>
    <mergeCell ref="P12:P14"/>
    <mergeCell ref="C13:G13"/>
    <mergeCell ref="H13:J14"/>
    <mergeCell ref="K13:L14"/>
    <mergeCell ref="V10:V12"/>
    <mergeCell ref="A11:B11"/>
    <mergeCell ref="A12:B12"/>
    <mergeCell ref="C12:G12"/>
    <mergeCell ref="A2:C3"/>
    <mergeCell ref="D2:L3"/>
    <mergeCell ref="M2:P3"/>
    <mergeCell ref="A4:C4"/>
    <mergeCell ref="D4:L4"/>
    <mergeCell ref="A5:B5"/>
    <mergeCell ref="D5:L5"/>
    <mergeCell ref="N5:P5"/>
    <mergeCell ref="V7:V9"/>
    <mergeCell ref="A8:F10"/>
    <mergeCell ref="H8:J8"/>
    <mergeCell ref="L8:P8"/>
    <mergeCell ref="H9:J11"/>
    <mergeCell ref="K9:K11"/>
    <mergeCell ref="L9:P11"/>
    <mergeCell ref="A6:B6"/>
    <mergeCell ref="C6:F6"/>
    <mergeCell ref="H6:J6"/>
    <mergeCell ref="L6:P6"/>
    <mergeCell ref="H7:J7"/>
    <mergeCell ref="L7:P7"/>
  </mergeCells>
  <dataValidations count="4">
    <dataValidation type="list" allowBlank="1" showInputMessage="1" showErrorMessage="1" sqref="L8:P8 L48:P48 L88:P88 L128:P128" xr:uid="{9AC3E45F-FE30-4795-97D3-46565E6216F1}">
      <formula1>Mode</formula1>
    </dataValidation>
    <dataValidation type="list" allowBlank="1" showInputMessage="1" showErrorMessage="1" sqref="A8 A48 A88 A128" xr:uid="{1079E806-53B2-4EAF-9226-D0ADC5F19E3D}">
      <formula1>$T$7:$T$35</formula1>
    </dataValidation>
    <dataValidation type="list" allowBlank="1" showInputMessage="1" showErrorMessage="1" sqref="L9:P11 L49:P51 L89:P91 L129:P131" xr:uid="{0A538AA2-F6FB-444E-A4D0-16E770F7409E}">
      <formula1>Carrier</formula1>
    </dataValidation>
    <dataValidation type="list" allowBlank="1" showInputMessage="1" showErrorMessage="1" sqref="C14:D14 C94:D94 C54:D54 C134:D134" xr:uid="{CBB4AD17-0BB1-406D-9C1B-676C293EE95C}">
      <formula1>$W$7:$W$161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A08A2-D3AD-40C3-87C2-E20969A3C12B}">
  <sheetPr>
    <tabColor rgb="FF00B050"/>
  </sheetPr>
  <dimension ref="A1:Y168"/>
  <sheetViews>
    <sheetView view="pageBreakPreview" topLeftCell="A31" zoomScaleNormal="100" zoomScaleSheetLayoutView="100" workbookViewId="0">
      <selection activeCell="AC25" sqref="AC25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37"/>
      <c r="B2" s="37"/>
      <c r="C2" s="37"/>
      <c r="D2" s="38" t="s">
        <v>27</v>
      </c>
      <c r="E2" s="38"/>
      <c r="F2" s="38"/>
      <c r="G2" s="38"/>
      <c r="H2" s="38"/>
      <c r="I2" s="38"/>
      <c r="J2" s="38"/>
      <c r="K2" s="38"/>
      <c r="L2" s="38"/>
      <c r="M2" s="39" t="s">
        <v>26</v>
      </c>
      <c r="N2" s="39"/>
      <c r="O2" s="39"/>
      <c r="P2" s="39"/>
      <c r="Q2" s="10"/>
    </row>
    <row r="3" spans="1:25" ht="22.15" customHeight="1" x14ac:dyDescent="0.25">
      <c r="A3" s="37"/>
      <c r="B3" s="37"/>
      <c r="C3" s="37"/>
      <c r="D3" s="38"/>
      <c r="E3" s="38"/>
      <c r="F3" s="38"/>
      <c r="G3" s="38"/>
      <c r="H3" s="38"/>
      <c r="I3" s="38"/>
      <c r="J3" s="38"/>
      <c r="K3" s="38"/>
      <c r="L3" s="38"/>
      <c r="M3" s="39"/>
      <c r="N3" s="39"/>
      <c r="O3" s="39"/>
      <c r="P3" s="39"/>
      <c r="Q3" s="10"/>
    </row>
    <row r="4" spans="1:25" ht="17.45" customHeight="1" x14ac:dyDescent="0.25">
      <c r="A4" s="40"/>
      <c r="B4" s="40"/>
      <c r="C4" s="40"/>
      <c r="D4" s="41" t="s">
        <v>21</v>
      </c>
      <c r="E4" s="41"/>
      <c r="F4" s="41"/>
      <c r="G4" s="41"/>
      <c r="H4" s="41"/>
      <c r="I4" s="41"/>
      <c r="J4" s="41"/>
      <c r="K4" s="41"/>
      <c r="L4" s="41"/>
      <c r="M4" s="11"/>
    </row>
    <row r="5" spans="1:25" ht="22.15" customHeight="1" thickBot="1" x14ac:dyDescent="0.35">
      <c r="A5" s="42"/>
      <c r="B5" s="42"/>
      <c r="C5" s="1"/>
      <c r="D5" s="43" t="s">
        <v>89</v>
      </c>
      <c r="E5" s="43"/>
      <c r="F5" s="43"/>
      <c r="G5" s="43"/>
      <c r="H5" s="43"/>
      <c r="I5" s="43"/>
      <c r="J5" s="43"/>
      <c r="K5" s="43"/>
      <c r="L5" s="43"/>
      <c r="M5" s="2"/>
      <c r="N5" s="37"/>
      <c r="O5" s="37"/>
      <c r="P5" s="37"/>
    </row>
    <row r="6" spans="1:25" ht="15.6" customHeight="1" thickBot="1" x14ac:dyDescent="0.35">
      <c r="A6" s="71" t="s">
        <v>9</v>
      </c>
      <c r="B6" s="72"/>
      <c r="C6" s="73" t="s">
        <v>112</v>
      </c>
      <c r="D6" s="73"/>
      <c r="E6" s="73"/>
      <c r="F6" s="74"/>
      <c r="G6" s="2"/>
      <c r="H6" s="75" t="s">
        <v>4</v>
      </c>
      <c r="I6" s="76"/>
      <c r="J6" s="76"/>
      <c r="K6" s="8" t="s">
        <v>7</v>
      </c>
      <c r="L6" s="77" t="s">
        <v>181</v>
      </c>
      <c r="M6" s="77"/>
      <c r="N6" s="77"/>
      <c r="O6" s="77"/>
      <c r="P6" s="78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52" t="s">
        <v>5</v>
      </c>
      <c r="I7" s="53"/>
      <c r="J7" s="53"/>
      <c r="K7" s="9" t="s">
        <v>7</v>
      </c>
      <c r="L7" s="79">
        <f ca="1">NOW()</f>
        <v>45689.589567129631</v>
      </c>
      <c r="M7" s="79"/>
      <c r="N7" s="79"/>
      <c r="O7" s="79"/>
      <c r="P7" s="80"/>
      <c r="R7" s="28">
        <v>1</v>
      </c>
      <c r="S7" s="28" t="s">
        <v>39</v>
      </c>
      <c r="T7" s="29" t="s">
        <v>33</v>
      </c>
      <c r="U7" s="17" t="s">
        <v>29</v>
      </c>
      <c r="V7" s="44" t="s">
        <v>47</v>
      </c>
      <c r="W7" t="s">
        <v>54</v>
      </c>
    </row>
    <row r="8" spans="1:25" ht="18" customHeight="1" x14ac:dyDescent="0.3">
      <c r="A8" s="46" t="s">
        <v>113</v>
      </c>
      <c r="B8" s="47"/>
      <c r="C8" s="47"/>
      <c r="D8" s="47"/>
      <c r="E8" s="47"/>
      <c r="F8" s="48"/>
      <c r="G8" s="2"/>
      <c r="H8" s="52" t="s">
        <v>8</v>
      </c>
      <c r="I8" s="53"/>
      <c r="J8" s="53"/>
      <c r="K8" s="9" t="s">
        <v>7</v>
      </c>
      <c r="L8" s="54" t="s">
        <v>29</v>
      </c>
      <c r="M8" s="54"/>
      <c r="N8" s="54"/>
      <c r="O8" s="54"/>
      <c r="P8" s="55"/>
      <c r="R8" s="28">
        <v>2</v>
      </c>
      <c r="S8" s="28" t="s">
        <v>40</v>
      </c>
      <c r="T8" s="29" t="s">
        <v>99</v>
      </c>
      <c r="U8" s="17" t="s">
        <v>30</v>
      </c>
      <c r="V8" s="45"/>
      <c r="W8" t="s">
        <v>55</v>
      </c>
    </row>
    <row r="9" spans="1:25" ht="17.45" customHeight="1" x14ac:dyDescent="0.3">
      <c r="A9" s="46"/>
      <c r="B9" s="47"/>
      <c r="C9" s="47"/>
      <c r="D9" s="47"/>
      <c r="E9" s="47"/>
      <c r="F9" s="48"/>
      <c r="G9" s="2"/>
      <c r="H9" s="56" t="s">
        <v>6</v>
      </c>
      <c r="I9" s="57"/>
      <c r="J9" s="57"/>
      <c r="K9" s="62" t="s">
        <v>7</v>
      </c>
      <c r="L9" s="65" t="s">
        <v>52</v>
      </c>
      <c r="M9" s="65"/>
      <c r="N9" s="65"/>
      <c r="O9" s="65"/>
      <c r="P9" s="66"/>
      <c r="R9" s="28">
        <v>3</v>
      </c>
      <c r="S9" s="28" t="s">
        <v>41</v>
      </c>
      <c r="T9" s="29" t="s">
        <v>100</v>
      </c>
      <c r="U9" s="17" t="s">
        <v>31</v>
      </c>
      <c r="V9" s="45"/>
      <c r="W9" t="s">
        <v>56</v>
      </c>
    </row>
    <row r="10" spans="1:25" ht="18" customHeight="1" thickBot="1" x14ac:dyDescent="0.35">
      <c r="A10" s="49"/>
      <c r="B10" s="50"/>
      <c r="C10" s="50"/>
      <c r="D10" s="50"/>
      <c r="E10" s="50"/>
      <c r="F10" s="51"/>
      <c r="G10" s="2"/>
      <c r="H10" s="58"/>
      <c r="I10" s="59"/>
      <c r="J10" s="59"/>
      <c r="K10" s="63"/>
      <c r="L10" s="67"/>
      <c r="M10" s="67"/>
      <c r="N10" s="67"/>
      <c r="O10" s="67"/>
      <c r="P10" s="68"/>
      <c r="R10" s="28">
        <v>4</v>
      </c>
      <c r="S10" s="28" t="s">
        <v>42</v>
      </c>
      <c r="T10" s="30" t="s">
        <v>34</v>
      </c>
      <c r="U10" s="17"/>
      <c r="V10" s="44" t="s">
        <v>48</v>
      </c>
      <c r="W10" t="s">
        <v>57</v>
      </c>
    </row>
    <row r="11" spans="1:25" ht="18" customHeight="1" thickBot="1" x14ac:dyDescent="0.35">
      <c r="A11" s="42"/>
      <c r="B11" s="42"/>
      <c r="C11" s="1"/>
      <c r="D11" s="2"/>
      <c r="E11" s="2"/>
      <c r="F11" s="2"/>
      <c r="G11" s="2"/>
      <c r="H11" s="60"/>
      <c r="I11" s="61"/>
      <c r="J11" s="61"/>
      <c r="K11" s="64"/>
      <c r="L11" s="69"/>
      <c r="M11" s="69"/>
      <c r="N11" s="69"/>
      <c r="O11" s="69"/>
      <c r="P11" s="70"/>
      <c r="R11" s="28">
        <v>5</v>
      </c>
      <c r="S11" s="28" t="s">
        <v>43</v>
      </c>
      <c r="T11" s="30" t="s">
        <v>35</v>
      </c>
      <c r="U11" s="17"/>
      <c r="V11" s="45"/>
      <c r="W11" t="s">
        <v>58</v>
      </c>
    </row>
    <row r="12" spans="1:25" ht="16.149999999999999" customHeight="1" x14ac:dyDescent="0.25">
      <c r="A12" s="103" t="s">
        <v>12</v>
      </c>
      <c r="B12" s="104"/>
      <c r="C12" s="105" t="s">
        <v>0</v>
      </c>
      <c r="D12" s="105"/>
      <c r="E12" s="105"/>
      <c r="F12" s="105"/>
      <c r="G12" s="105"/>
      <c r="H12" s="81" t="s">
        <v>1</v>
      </c>
      <c r="I12" s="82"/>
      <c r="J12" s="82"/>
      <c r="K12" s="82"/>
      <c r="L12" s="83"/>
      <c r="M12" s="84" t="s">
        <v>16</v>
      </c>
      <c r="N12" s="85"/>
      <c r="O12" s="86"/>
      <c r="P12" s="93" t="s">
        <v>3</v>
      </c>
      <c r="R12" s="28">
        <v>6</v>
      </c>
      <c r="S12" s="28" t="s">
        <v>44</v>
      </c>
      <c r="T12" s="30" t="s">
        <v>36</v>
      </c>
      <c r="U12" s="17"/>
      <c r="V12" s="45"/>
      <c r="W12" t="s">
        <v>67</v>
      </c>
    </row>
    <row r="13" spans="1:25" ht="16.149999999999999" customHeight="1" x14ac:dyDescent="0.25">
      <c r="A13" s="3" t="s">
        <v>13</v>
      </c>
      <c r="B13" s="33">
        <v>1</v>
      </c>
      <c r="C13" s="96" t="s">
        <v>14</v>
      </c>
      <c r="D13" s="96"/>
      <c r="E13" s="96"/>
      <c r="F13" s="96"/>
      <c r="G13" s="96"/>
      <c r="H13" s="97" t="s">
        <v>2</v>
      </c>
      <c r="I13" s="98"/>
      <c r="J13" s="99"/>
      <c r="K13" s="97" t="s">
        <v>15</v>
      </c>
      <c r="L13" s="99"/>
      <c r="M13" s="87"/>
      <c r="N13" s="88"/>
      <c r="O13" s="89"/>
      <c r="P13" s="94"/>
      <c r="R13" s="28">
        <v>7</v>
      </c>
      <c r="S13" s="28" t="s">
        <v>45</v>
      </c>
      <c r="T13" s="30" t="s">
        <v>37</v>
      </c>
      <c r="U13" s="12"/>
      <c r="V13" s="44" t="s">
        <v>49</v>
      </c>
      <c r="W13" t="s">
        <v>59</v>
      </c>
    </row>
    <row r="14" spans="1:25" ht="16.149999999999999" customHeight="1" thickBot="1" x14ac:dyDescent="0.3">
      <c r="A14" s="113" t="s">
        <v>11</v>
      </c>
      <c r="B14" s="114"/>
      <c r="C14" s="115" t="s">
        <v>66</v>
      </c>
      <c r="D14" s="116"/>
      <c r="E14" s="117" t="s">
        <v>88</v>
      </c>
      <c r="F14" s="118"/>
      <c r="G14" s="114"/>
      <c r="H14" s="100"/>
      <c r="I14" s="101"/>
      <c r="J14" s="102"/>
      <c r="K14" s="100"/>
      <c r="L14" s="102"/>
      <c r="M14" s="90"/>
      <c r="N14" s="91"/>
      <c r="O14" s="92"/>
      <c r="P14" s="95"/>
      <c r="R14" s="28">
        <v>8</v>
      </c>
      <c r="S14" s="28" t="s">
        <v>46</v>
      </c>
      <c r="T14" s="30" t="s">
        <v>38</v>
      </c>
      <c r="U14" s="12"/>
      <c r="V14" s="45"/>
      <c r="W14" t="s">
        <v>60</v>
      </c>
    </row>
    <row r="15" spans="1:25" ht="25.15" customHeight="1" x14ac:dyDescent="0.25">
      <c r="A15" s="31"/>
      <c r="B15" s="119" t="s">
        <v>148</v>
      </c>
      <c r="C15" s="119"/>
      <c r="D15" s="119"/>
      <c r="E15" s="119"/>
      <c r="F15" s="119"/>
      <c r="G15" s="119"/>
      <c r="H15" s="120">
        <v>2</v>
      </c>
      <c r="I15" s="121"/>
      <c r="J15" s="122"/>
      <c r="K15" s="123">
        <v>123</v>
      </c>
      <c r="L15" s="124"/>
      <c r="M15" s="106" t="s">
        <v>149</v>
      </c>
      <c r="N15" s="107"/>
      <c r="O15" s="108"/>
      <c r="P15" s="34"/>
      <c r="R15" s="28">
        <v>9</v>
      </c>
      <c r="S15" s="28" t="s">
        <v>96</v>
      </c>
      <c r="T15" s="30" t="s">
        <v>93</v>
      </c>
      <c r="U15" s="12"/>
      <c r="V15" s="45"/>
      <c r="W15" t="s">
        <v>61</v>
      </c>
    </row>
    <row r="16" spans="1:25" ht="25.15" customHeight="1" x14ac:dyDescent="0.25">
      <c r="A16" s="32"/>
      <c r="B16" s="109" t="s">
        <v>150</v>
      </c>
      <c r="C16" s="109"/>
      <c r="D16" s="109"/>
      <c r="E16" s="109"/>
      <c r="F16" s="109"/>
      <c r="G16" s="109"/>
      <c r="H16" s="110">
        <v>5</v>
      </c>
      <c r="I16" s="110"/>
      <c r="J16" s="110"/>
      <c r="K16" s="111">
        <v>234</v>
      </c>
      <c r="L16" s="111"/>
      <c r="M16" s="112" t="s">
        <v>151</v>
      </c>
      <c r="N16" s="112"/>
      <c r="O16" s="112"/>
      <c r="P16" s="35"/>
      <c r="R16" s="28">
        <v>10</v>
      </c>
      <c r="S16" s="28" t="s">
        <v>98</v>
      </c>
      <c r="T16" s="30" t="s">
        <v>94</v>
      </c>
      <c r="U16" s="12"/>
      <c r="V16" s="44" t="s">
        <v>50</v>
      </c>
      <c r="W16" t="s">
        <v>62</v>
      </c>
    </row>
    <row r="17" spans="1:23" ht="25.15" customHeight="1" x14ac:dyDescent="0.25">
      <c r="A17" s="32"/>
      <c r="B17" s="109" t="s">
        <v>152</v>
      </c>
      <c r="C17" s="109"/>
      <c r="D17" s="109"/>
      <c r="E17" s="109"/>
      <c r="F17" s="109"/>
      <c r="G17" s="109"/>
      <c r="H17" s="110">
        <v>1</v>
      </c>
      <c r="I17" s="110"/>
      <c r="J17" s="110"/>
      <c r="K17" s="111">
        <v>39</v>
      </c>
      <c r="L17" s="111"/>
      <c r="M17" s="112" t="s">
        <v>127</v>
      </c>
      <c r="N17" s="112"/>
      <c r="O17" s="112"/>
      <c r="P17" s="35"/>
      <c r="R17" s="28">
        <v>11</v>
      </c>
      <c r="S17" s="28" t="s">
        <v>97</v>
      </c>
      <c r="T17" s="30" t="s">
        <v>95</v>
      </c>
      <c r="U17" s="12"/>
      <c r="V17" s="45"/>
      <c r="W17" t="s">
        <v>63</v>
      </c>
    </row>
    <row r="18" spans="1:23" ht="25.15" customHeight="1" x14ac:dyDescent="0.25">
      <c r="A18" s="32"/>
      <c r="B18" s="109" t="s">
        <v>153</v>
      </c>
      <c r="C18" s="109"/>
      <c r="D18" s="109"/>
      <c r="E18" s="109"/>
      <c r="F18" s="109"/>
      <c r="G18" s="109"/>
      <c r="H18" s="110">
        <v>45</v>
      </c>
      <c r="I18" s="110"/>
      <c r="J18" s="110"/>
      <c r="K18" s="111">
        <v>3971</v>
      </c>
      <c r="L18" s="111"/>
      <c r="M18" s="112" t="s">
        <v>154</v>
      </c>
      <c r="N18" s="112"/>
      <c r="O18" s="112"/>
      <c r="P18" s="35"/>
      <c r="R18" s="28">
        <v>12</v>
      </c>
      <c r="S18" s="28" t="s">
        <v>101</v>
      </c>
      <c r="T18" s="30" t="s">
        <v>102</v>
      </c>
      <c r="U18" s="12"/>
      <c r="V18" s="45"/>
      <c r="W18" t="s">
        <v>64</v>
      </c>
    </row>
    <row r="19" spans="1:23" ht="25.15" customHeight="1" x14ac:dyDescent="0.25">
      <c r="A19" s="32"/>
      <c r="B19" s="109" t="s">
        <v>155</v>
      </c>
      <c r="C19" s="109"/>
      <c r="D19" s="109"/>
      <c r="E19" s="109"/>
      <c r="F19" s="109"/>
      <c r="G19" s="109"/>
      <c r="H19" s="110">
        <v>1</v>
      </c>
      <c r="I19" s="110"/>
      <c r="J19" s="110"/>
      <c r="K19" s="111">
        <v>47</v>
      </c>
      <c r="L19" s="111"/>
      <c r="M19" s="112" t="s">
        <v>156</v>
      </c>
      <c r="N19" s="112"/>
      <c r="O19" s="112"/>
      <c r="P19" s="35"/>
      <c r="R19" s="28">
        <v>13</v>
      </c>
      <c r="S19" s="28" t="s">
        <v>104</v>
      </c>
      <c r="T19" s="30" t="s">
        <v>103</v>
      </c>
      <c r="U19" s="12"/>
      <c r="V19" s="44" t="s">
        <v>51</v>
      </c>
      <c r="W19" t="s">
        <v>65</v>
      </c>
    </row>
    <row r="20" spans="1:23" ht="25.15" customHeight="1" x14ac:dyDescent="0.25">
      <c r="A20" s="32"/>
      <c r="B20" s="109" t="s">
        <v>157</v>
      </c>
      <c r="C20" s="109"/>
      <c r="D20" s="109"/>
      <c r="E20" s="109"/>
      <c r="F20" s="109"/>
      <c r="G20" s="109"/>
      <c r="H20" s="110">
        <v>1</v>
      </c>
      <c r="I20" s="110"/>
      <c r="J20" s="110"/>
      <c r="K20" s="111">
        <v>107</v>
      </c>
      <c r="L20" s="111"/>
      <c r="M20" s="125" t="s">
        <v>158</v>
      </c>
      <c r="N20" s="112"/>
      <c r="O20" s="112"/>
      <c r="P20" s="35"/>
      <c r="R20" s="28">
        <v>14</v>
      </c>
      <c r="S20" s="28" t="s">
        <v>105</v>
      </c>
      <c r="T20" s="30" t="s">
        <v>106</v>
      </c>
      <c r="U20" s="12"/>
      <c r="V20" s="45"/>
      <c r="W20" t="s">
        <v>66</v>
      </c>
    </row>
    <row r="21" spans="1:23" ht="25.15" customHeight="1" x14ac:dyDescent="0.25">
      <c r="A21" s="32"/>
      <c r="B21" s="109" t="s">
        <v>159</v>
      </c>
      <c r="C21" s="109"/>
      <c r="D21" s="109"/>
      <c r="E21" s="109"/>
      <c r="F21" s="109"/>
      <c r="G21" s="109"/>
      <c r="H21" s="110">
        <v>2</v>
      </c>
      <c r="I21" s="110"/>
      <c r="J21" s="110"/>
      <c r="K21" s="111">
        <v>156</v>
      </c>
      <c r="L21" s="111"/>
      <c r="M21" s="112" t="s">
        <v>160</v>
      </c>
      <c r="N21" s="112"/>
      <c r="O21" s="112"/>
      <c r="P21" s="35"/>
      <c r="R21" s="28">
        <v>15</v>
      </c>
      <c r="S21" s="28" t="s">
        <v>108</v>
      </c>
      <c r="T21" s="30" t="s">
        <v>107</v>
      </c>
      <c r="U21" s="12"/>
      <c r="V21" s="45"/>
      <c r="W21" t="s">
        <v>68</v>
      </c>
    </row>
    <row r="22" spans="1:23" ht="25.15" customHeight="1" x14ac:dyDescent="0.25">
      <c r="A22" s="32"/>
      <c r="B22" s="109" t="s">
        <v>161</v>
      </c>
      <c r="C22" s="109"/>
      <c r="D22" s="109"/>
      <c r="E22" s="109"/>
      <c r="F22" s="109"/>
      <c r="G22" s="109"/>
      <c r="H22" s="110">
        <v>6</v>
      </c>
      <c r="I22" s="110"/>
      <c r="J22" s="110"/>
      <c r="K22" s="111">
        <v>403</v>
      </c>
      <c r="L22" s="111"/>
      <c r="M22" s="112" t="s">
        <v>162</v>
      </c>
      <c r="N22" s="112"/>
      <c r="O22" s="112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09" t="s">
        <v>163</v>
      </c>
      <c r="C23" s="109"/>
      <c r="D23" s="109"/>
      <c r="E23" s="109"/>
      <c r="F23" s="109"/>
      <c r="G23" s="109"/>
      <c r="H23" s="110">
        <v>63</v>
      </c>
      <c r="I23" s="110"/>
      <c r="J23" s="110"/>
      <c r="K23" s="111">
        <v>4300</v>
      </c>
      <c r="L23" s="111"/>
      <c r="M23" s="112" t="s">
        <v>164</v>
      </c>
      <c r="N23" s="112"/>
      <c r="O23" s="112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09" t="s">
        <v>165</v>
      </c>
      <c r="C24" s="109"/>
      <c r="D24" s="109"/>
      <c r="E24" s="109"/>
      <c r="F24" s="109"/>
      <c r="G24" s="109"/>
      <c r="H24" s="110">
        <v>30</v>
      </c>
      <c r="I24" s="110"/>
      <c r="J24" s="110"/>
      <c r="K24" s="111">
        <v>2210</v>
      </c>
      <c r="L24" s="111"/>
      <c r="M24" s="112" t="s">
        <v>166</v>
      </c>
      <c r="N24" s="112"/>
      <c r="O24" s="112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09" t="s">
        <v>167</v>
      </c>
      <c r="C25" s="109"/>
      <c r="D25" s="109"/>
      <c r="E25" s="109"/>
      <c r="F25" s="109"/>
      <c r="G25" s="109"/>
      <c r="H25" s="110">
        <v>8</v>
      </c>
      <c r="I25" s="110"/>
      <c r="J25" s="110"/>
      <c r="K25" s="111">
        <v>608</v>
      </c>
      <c r="L25" s="111"/>
      <c r="M25" s="112" t="s">
        <v>154</v>
      </c>
      <c r="N25" s="112"/>
      <c r="O25" s="112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09" t="s">
        <v>168</v>
      </c>
      <c r="C26" s="109"/>
      <c r="D26" s="109"/>
      <c r="E26" s="109"/>
      <c r="F26" s="109"/>
      <c r="G26" s="109"/>
      <c r="H26" s="110">
        <v>18</v>
      </c>
      <c r="I26" s="110"/>
      <c r="J26" s="110"/>
      <c r="K26" s="111">
        <v>955</v>
      </c>
      <c r="L26" s="111"/>
      <c r="M26" s="112" t="s">
        <v>169</v>
      </c>
      <c r="N26" s="112"/>
      <c r="O26" s="112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09" t="s">
        <v>170</v>
      </c>
      <c r="C27" s="109"/>
      <c r="D27" s="109"/>
      <c r="E27" s="109"/>
      <c r="F27" s="109"/>
      <c r="G27" s="109"/>
      <c r="H27" s="110">
        <v>5</v>
      </c>
      <c r="I27" s="110"/>
      <c r="J27" s="110"/>
      <c r="K27" s="111">
        <v>198</v>
      </c>
      <c r="L27" s="111"/>
      <c r="M27" s="112" t="s">
        <v>151</v>
      </c>
      <c r="N27" s="112"/>
      <c r="O27" s="112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09" t="s">
        <v>171</v>
      </c>
      <c r="C28" s="109"/>
      <c r="D28" s="109"/>
      <c r="E28" s="109"/>
      <c r="F28" s="109"/>
      <c r="G28" s="109"/>
      <c r="H28" s="110">
        <v>1</v>
      </c>
      <c r="I28" s="110"/>
      <c r="J28" s="110"/>
      <c r="K28" s="111">
        <v>24</v>
      </c>
      <c r="L28" s="111"/>
      <c r="M28" s="112" t="s">
        <v>160</v>
      </c>
      <c r="N28" s="112"/>
      <c r="O28" s="112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09" t="s">
        <v>172</v>
      </c>
      <c r="C29" s="109"/>
      <c r="D29" s="109"/>
      <c r="E29" s="109"/>
      <c r="F29" s="109"/>
      <c r="G29" s="109"/>
      <c r="H29" s="110">
        <v>16</v>
      </c>
      <c r="I29" s="110"/>
      <c r="J29" s="110"/>
      <c r="K29" s="111">
        <v>785</v>
      </c>
      <c r="L29" s="111"/>
      <c r="M29" s="112" t="s">
        <v>158</v>
      </c>
      <c r="N29" s="112"/>
      <c r="O29" s="112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09" t="s">
        <v>173</v>
      </c>
      <c r="C30" s="109"/>
      <c r="D30" s="109"/>
      <c r="E30" s="109"/>
      <c r="F30" s="109"/>
      <c r="G30" s="109"/>
      <c r="H30" s="110">
        <v>37</v>
      </c>
      <c r="I30" s="110"/>
      <c r="J30" s="110"/>
      <c r="K30" s="111">
        <v>2037</v>
      </c>
      <c r="L30" s="111"/>
      <c r="M30" s="112" t="s">
        <v>151</v>
      </c>
      <c r="N30" s="112"/>
      <c r="O30" s="112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09" t="s">
        <v>174</v>
      </c>
      <c r="C31" s="109"/>
      <c r="D31" s="109"/>
      <c r="E31" s="109"/>
      <c r="F31" s="109"/>
      <c r="G31" s="109"/>
      <c r="H31" s="110">
        <v>21</v>
      </c>
      <c r="I31" s="110"/>
      <c r="J31" s="110"/>
      <c r="K31" s="111">
        <v>574</v>
      </c>
      <c r="L31" s="111"/>
      <c r="M31" s="112" t="s">
        <v>154</v>
      </c>
      <c r="N31" s="112"/>
      <c r="O31" s="112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09" t="s">
        <v>175</v>
      </c>
      <c r="C32" s="109"/>
      <c r="D32" s="109"/>
      <c r="E32" s="109"/>
      <c r="F32" s="109"/>
      <c r="G32" s="109"/>
      <c r="H32" s="110">
        <v>4</v>
      </c>
      <c r="I32" s="110"/>
      <c r="J32" s="110"/>
      <c r="K32" s="111">
        <v>197</v>
      </c>
      <c r="L32" s="111"/>
      <c r="M32" s="112" t="s">
        <v>156</v>
      </c>
      <c r="N32" s="112"/>
      <c r="O32" s="112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09" t="s">
        <v>176</v>
      </c>
      <c r="C33" s="109"/>
      <c r="D33" s="109"/>
      <c r="E33" s="109"/>
      <c r="F33" s="109"/>
      <c r="G33" s="109"/>
      <c r="H33" s="110">
        <v>14</v>
      </c>
      <c r="I33" s="110"/>
      <c r="J33" s="110"/>
      <c r="K33" s="111">
        <v>506</v>
      </c>
      <c r="L33" s="111"/>
      <c r="M33" s="112" t="s">
        <v>154</v>
      </c>
      <c r="N33" s="112"/>
      <c r="O33" s="112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09"/>
      <c r="C34" s="109"/>
      <c r="D34" s="109"/>
      <c r="E34" s="109"/>
      <c r="F34" s="109"/>
      <c r="G34" s="109"/>
      <c r="H34" s="110"/>
      <c r="I34" s="110"/>
      <c r="J34" s="110"/>
      <c r="K34" s="111"/>
      <c r="L34" s="111"/>
      <c r="M34" s="112"/>
      <c r="N34" s="112"/>
      <c r="O34" s="112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26" t="s">
        <v>17</v>
      </c>
      <c r="B35" s="127"/>
      <c r="C35" s="127"/>
      <c r="D35" s="127"/>
      <c r="E35" s="127"/>
      <c r="F35" s="127"/>
      <c r="G35" s="116"/>
      <c r="H35" s="128">
        <f>SUM(H15:J34)</f>
        <v>280</v>
      </c>
      <c r="I35" s="129"/>
      <c r="J35" s="130"/>
      <c r="K35" s="131">
        <f>SUM(K15:L34)</f>
        <v>17474</v>
      </c>
      <c r="L35" s="132"/>
      <c r="M35" s="133"/>
      <c r="N35" s="134"/>
      <c r="O35" s="135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37" t="s">
        <v>22</v>
      </c>
      <c r="B37" s="138"/>
      <c r="C37" s="138"/>
      <c r="D37" s="139" t="s">
        <v>177</v>
      </c>
      <c r="E37" s="139"/>
      <c r="F37" s="139"/>
      <c r="G37" s="138" t="s">
        <v>23</v>
      </c>
      <c r="H37" s="138"/>
      <c r="I37" s="138"/>
      <c r="J37" s="138"/>
      <c r="K37" s="138"/>
      <c r="L37" s="138"/>
      <c r="M37" s="140" t="s">
        <v>178</v>
      </c>
      <c r="N37" s="140"/>
      <c r="O37" s="140"/>
      <c r="P37" s="141"/>
      <c r="R37" s="23"/>
      <c r="S37" s="24"/>
      <c r="T37" s="21"/>
      <c r="W37" t="s">
        <v>84</v>
      </c>
    </row>
    <row r="38" spans="1:23" ht="31.9" customHeight="1" x14ac:dyDescent="0.25">
      <c r="A38" s="142" t="s">
        <v>24</v>
      </c>
      <c r="B38" s="143"/>
      <c r="C38" s="143"/>
      <c r="D38" s="144" t="s">
        <v>180</v>
      </c>
      <c r="E38" s="144"/>
      <c r="F38" s="144"/>
      <c r="G38" s="143" t="s">
        <v>25</v>
      </c>
      <c r="H38" s="143"/>
      <c r="I38" s="143"/>
      <c r="J38" s="143"/>
      <c r="K38" s="143"/>
      <c r="L38" s="143"/>
      <c r="M38" s="145" t="s">
        <v>179</v>
      </c>
      <c r="N38" s="145"/>
      <c r="O38" s="145"/>
      <c r="P38" s="146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36" t="s">
        <v>18</v>
      </c>
      <c r="B40" s="136"/>
      <c r="C40" s="136"/>
      <c r="D40" s="4"/>
      <c r="E40" s="4"/>
      <c r="F40" s="136" t="s">
        <v>19</v>
      </c>
      <c r="G40" s="136"/>
      <c r="H40" s="36"/>
      <c r="I40" s="36"/>
      <c r="J40" s="36"/>
      <c r="K40" s="4"/>
      <c r="L40" s="136" t="s">
        <v>20</v>
      </c>
      <c r="M40" s="136"/>
      <c r="N40" s="136"/>
      <c r="O40" s="136"/>
      <c r="P40" s="136"/>
      <c r="W40" t="s">
        <v>87</v>
      </c>
    </row>
    <row r="41" spans="1:23" ht="8.25" customHeight="1" x14ac:dyDescent="0.25"/>
    <row r="42" spans="1:23" ht="36.75" customHeight="1" x14ac:dyDescent="0.25">
      <c r="A42" s="37"/>
      <c r="B42" s="37"/>
      <c r="C42" s="37"/>
      <c r="D42" s="38" t="s">
        <v>27</v>
      </c>
      <c r="E42" s="38"/>
      <c r="F42" s="38"/>
      <c r="G42" s="38"/>
      <c r="H42" s="38"/>
      <c r="I42" s="38"/>
      <c r="J42" s="38"/>
      <c r="K42" s="38"/>
      <c r="L42" s="38"/>
      <c r="M42" s="39" t="str">
        <f>M2</f>
        <v>FORM STR 03
REVISION NO 01</v>
      </c>
      <c r="N42" s="39"/>
      <c r="O42" s="39"/>
      <c r="P42" s="39"/>
      <c r="Q42" s="10"/>
      <c r="W42" t="s">
        <v>111</v>
      </c>
    </row>
    <row r="43" spans="1:23" ht="22.15" customHeight="1" x14ac:dyDescent="0.25">
      <c r="A43" s="37"/>
      <c r="B43" s="37"/>
      <c r="C43" s="37"/>
      <c r="D43" s="38"/>
      <c r="E43" s="38"/>
      <c r="F43" s="38"/>
      <c r="G43" s="38"/>
      <c r="H43" s="38"/>
      <c r="I43" s="38"/>
      <c r="J43" s="38"/>
      <c r="K43" s="38"/>
      <c r="L43" s="38"/>
      <c r="M43" s="39"/>
      <c r="N43" s="39"/>
      <c r="O43" s="39"/>
      <c r="P43" s="39"/>
      <c r="Q43" s="10"/>
    </row>
    <row r="44" spans="1:23" ht="17.45" customHeight="1" x14ac:dyDescent="0.25">
      <c r="A44" s="40"/>
      <c r="B44" s="40"/>
      <c r="C44" s="40"/>
      <c r="D44" s="41" t="s">
        <v>21</v>
      </c>
      <c r="E44" s="41"/>
      <c r="F44" s="41"/>
      <c r="G44" s="41"/>
      <c r="H44" s="41"/>
      <c r="I44" s="41"/>
      <c r="J44" s="41"/>
      <c r="K44" s="41"/>
      <c r="L44" s="41"/>
      <c r="M44" s="11"/>
    </row>
    <row r="45" spans="1:23" ht="22.15" customHeight="1" thickBot="1" x14ac:dyDescent="0.35">
      <c r="A45" s="42"/>
      <c r="B45" s="42"/>
      <c r="C45" s="1"/>
      <c r="D45" s="43" t="s">
        <v>90</v>
      </c>
      <c r="E45" s="43"/>
      <c r="F45" s="43"/>
      <c r="G45" s="43"/>
      <c r="H45" s="43"/>
      <c r="I45" s="43"/>
      <c r="J45" s="43"/>
      <c r="K45" s="43"/>
      <c r="L45" s="43"/>
      <c r="M45" s="2"/>
      <c r="N45" s="37"/>
      <c r="O45" s="37"/>
      <c r="P45" s="37"/>
    </row>
    <row r="46" spans="1:23" ht="15.6" customHeight="1" thickBot="1" x14ac:dyDescent="0.35">
      <c r="A46" s="71" t="s">
        <v>9</v>
      </c>
      <c r="B46" s="72"/>
      <c r="C46" s="73" t="str">
        <f>C6</f>
        <v>O539</v>
      </c>
      <c r="D46" s="73"/>
      <c r="E46" s="73"/>
      <c r="F46" s="74"/>
      <c r="G46" s="2"/>
      <c r="H46" s="75" t="s">
        <v>4</v>
      </c>
      <c r="I46" s="76"/>
      <c r="J46" s="76"/>
      <c r="K46" s="8" t="s">
        <v>7</v>
      </c>
      <c r="L46" s="77" t="str">
        <f>L6</f>
        <v>JP 523797</v>
      </c>
      <c r="M46" s="77"/>
      <c r="N46" s="77"/>
      <c r="O46" s="77"/>
      <c r="P46" s="78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52" t="s">
        <v>5</v>
      </c>
      <c r="I47" s="53"/>
      <c r="J47" s="53"/>
      <c r="K47" s="9" t="s">
        <v>7</v>
      </c>
      <c r="L47" s="79">
        <f ca="1">L7</f>
        <v>45689.589567129631</v>
      </c>
      <c r="M47" s="79"/>
      <c r="N47" s="79"/>
      <c r="O47" s="79"/>
      <c r="P47" s="80"/>
      <c r="R47" s="88"/>
      <c r="S47" s="88"/>
      <c r="T47" s="147"/>
      <c r="U47" s="26"/>
      <c r="V47" s="147"/>
    </row>
    <row r="48" spans="1:23" ht="18" customHeight="1" x14ac:dyDescent="0.3">
      <c r="A48" s="46" t="str">
        <f>A8</f>
        <v>Summit Alliance Port Ltd. (SAPL).
Katghar, South Patenga, Chattogram.</v>
      </c>
      <c r="B48" s="47"/>
      <c r="C48" s="47"/>
      <c r="D48" s="47"/>
      <c r="E48" s="47"/>
      <c r="F48" s="48"/>
      <c r="G48" s="2"/>
      <c r="H48" s="52" t="s">
        <v>8</v>
      </c>
      <c r="I48" s="53"/>
      <c r="J48" s="53"/>
      <c r="K48" s="9" t="s">
        <v>7</v>
      </c>
      <c r="L48" s="54" t="str">
        <f>L8</f>
        <v>SEA</v>
      </c>
      <c r="M48" s="54"/>
      <c r="N48" s="54"/>
      <c r="O48" s="54"/>
      <c r="P48" s="55"/>
      <c r="R48" s="88"/>
      <c r="S48" s="88"/>
      <c r="T48" s="148"/>
      <c r="U48" s="26"/>
      <c r="V48" s="148"/>
    </row>
    <row r="49" spans="1:22" ht="17.45" customHeight="1" x14ac:dyDescent="0.3">
      <c r="A49" s="46"/>
      <c r="B49" s="47"/>
      <c r="C49" s="47"/>
      <c r="D49" s="47"/>
      <c r="E49" s="47"/>
      <c r="F49" s="48"/>
      <c r="G49" s="2"/>
      <c r="H49" s="56" t="s">
        <v>6</v>
      </c>
      <c r="I49" s="57"/>
      <c r="J49" s="57"/>
      <c r="K49" s="62" t="s">
        <v>7</v>
      </c>
      <c r="L49" s="65" t="str">
        <f>L9</f>
        <v>M/S. Kabir &amp; Co.
1104DT Road West Madarbari,
Chattogram, Bangladesh.</v>
      </c>
      <c r="M49" s="65"/>
      <c r="N49" s="65"/>
      <c r="O49" s="65"/>
      <c r="P49" s="66"/>
      <c r="R49" s="88"/>
      <c r="S49" s="88"/>
      <c r="T49" s="148"/>
      <c r="U49" s="26"/>
      <c r="V49" s="148"/>
    </row>
    <row r="50" spans="1:22" ht="18" thickBot="1" x14ac:dyDescent="0.35">
      <c r="A50" s="49"/>
      <c r="B50" s="50"/>
      <c r="C50" s="50"/>
      <c r="D50" s="50"/>
      <c r="E50" s="50"/>
      <c r="F50" s="51"/>
      <c r="G50" s="2"/>
      <c r="H50" s="58"/>
      <c r="I50" s="59"/>
      <c r="J50" s="59"/>
      <c r="K50" s="63"/>
      <c r="L50" s="67"/>
      <c r="M50" s="67"/>
      <c r="N50" s="67"/>
      <c r="O50" s="67"/>
      <c r="P50" s="68"/>
      <c r="R50" s="88"/>
      <c r="S50" s="88"/>
      <c r="T50" s="147"/>
      <c r="U50" s="26"/>
      <c r="V50" s="147"/>
    </row>
    <row r="51" spans="1:22" ht="18" customHeight="1" thickBot="1" x14ac:dyDescent="0.35">
      <c r="A51" s="42"/>
      <c r="B51" s="42"/>
      <c r="C51" s="1"/>
      <c r="D51" s="2"/>
      <c r="E51" s="2"/>
      <c r="F51" s="2"/>
      <c r="G51" s="2"/>
      <c r="H51" s="60"/>
      <c r="I51" s="61"/>
      <c r="J51" s="61"/>
      <c r="K51" s="64"/>
      <c r="L51" s="69"/>
      <c r="M51" s="69"/>
      <c r="N51" s="69"/>
      <c r="O51" s="69"/>
      <c r="P51" s="70"/>
      <c r="R51" s="88"/>
      <c r="S51" s="88"/>
      <c r="T51" s="147"/>
      <c r="U51" s="26"/>
      <c r="V51" s="148"/>
    </row>
    <row r="52" spans="1:22" ht="16.149999999999999" customHeight="1" x14ac:dyDescent="0.25">
      <c r="A52" s="103" t="s">
        <v>12</v>
      </c>
      <c r="B52" s="104"/>
      <c r="C52" s="105" t="s">
        <v>0</v>
      </c>
      <c r="D52" s="105"/>
      <c r="E52" s="105"/>
      <c r="F52" s="105"/>
      <c r="G52" s="105"/>
      <c r="H52" s="81" t="s">
        <v>1</v>
      </c>
      <c r="I52" s="82"/>
      <c r="J52" s="82"/>
      <c r="K52" s="82"/>
      <c r="L52" s="83"/>
      <c r="M52" s="84" t="s">
        <v>16</v>
      </c>
      <c r="N52" s="85"/>
      <c r="O52" s="86"/>
      <c r="P52" s="93" t="s">
        <v>3</v>
      </c>
      <c r="R52" s="88"/>
      <c r="S52" s="88"/>
      <c r="T52" s="147"/>
      <c r="U52" s="26"/>
      <c r="V52" s="148"/>
    </row>
    <row r="53" spans="1:22" ht="16.149999999999999" customHeight="1" x14ac:dyDescent="0.25">
      <c r="A53" s="3" t="s">
        <v>13</v>
      </c>
      <c r="B53" s="33">
        <f>B13</f>
        <v>1</v>
      </c>
      <c r="C53" s="96" t="str">
        <f>C13</f>
        <v>Delivery of Readymade Garments</v>
      </c>
      <c r="D53" s="96"/>
      <c r="E53" s="96"/>
      <c r="F53" s="96"/>
      <c r="G53" s="96"/>
      <c r="H53" s="97" t="s">
        <v>2</v>
      </c>
      <c r="I53" s="98"/>
      <c r="J53" s="99"/>
      <c r="K53" s="97" t="s">
        <v>15</v>
      </c>
      <c r="L53" s="99"/>
      <c r="M53" s="87"/>
      <c r="N53" s="88"/>
      <c r="O53" s="89"/>
      <c r="P53" s="94"/>
      <c r="R53" s="88"/>
      <c r="S53" s="88"/>
      <c r="T53" s="147"/>
      <c r="V53" s="147"/>
    </row>
    <row r="54" spans="1:22" ht="16.149999999999999" customHeight="1" thickBot="1" x14ac:dyDescent="0.3">
      <c r="A54" s="113" t="s">
        <v>11</v>
      </c>
      <c r="B54" s="114"/>
      <c r="C54" s="115" t="str">
        <f>C14</f>
        <v>H &amp; M</v>
      </c>
      <c r="D54" s="116"/>
      <c r="E54" s="117" t="s">
        <v>88</v>
      </c>
      <c r="F54" s="118"/>
      <c r="G54" s="114"/>
      <c r="H54" s="100"/>
      <c r="I54" s="101"/>
      <c r="J54" s="102"/>
      <c r="K54" s="100"/>
      <c r="L54" s="102"/>
      <c r="M54" s="90"/>
      <c r="N54" s="91"/>
      <c r="O54" s="92"/>
      <c r="P54" s="95"/>
      <c r="R54" s="88"/>
      <c r="S54" s="88"/>
      <c r="T54" s="147"/>
      <c r="V54" s="148"/>
    </row>
    <row r="55" spans="1:22" ht="25.15" customHeight="1" x14ac:dyDescent="0.25">
      <c r="A55" s="31">
        <f>A15</f>
        <v>0</v>
      </c>
      <c r="B55" s="119" t="str">
        <f>B15</f>
        <v>324425-5832</v>
      </c>
      <c r="C55" s="119"/>
      <c r="D55" s="119"/>
      <c r="E55" s="119"/>
      <c r="F55" s="119"/>
      <c r="G55" s="119"/>
      <c r="H55" s="120">
        <f>H15</f>
        <v>2</v>
      </c>
      <c r="I55" s="121"/>
      <c r="J55" s="122"/>
      <c r="K55" s="123">
        <f>K15</f>
        <v>123</v>
      </c>
      <c r="L55" s="124"/>
      <c r="M55" s="106" t="str">
        <f>M15</f>
        <v>PL</v>
      </c>
      <c r="N55" s="107"/>
      <c r="O55" s="108"/>
      <c r="P55" s="35">
        <f>P15</f>
        <v>0</v>
      </c>
      <c r="R55" s="88"/>
      <c r="S55" s="88"/>
      <c r="T55" s="147"/>
      <c r="V55" s="148"/>
    </row>
    <row r="56" spans="1:22" ht="25.15" customHeight="1" x14ac:dyDescent="0.25">
      <c r="A56" s="32">
        <f>A16</f>
        <v>0</v>
      </c>
      <c r="B56" s="109" t="str">
        <f>B16</f>
        <v>285475-5832</v>
      </c>
      <c r="C56" s="109"/>
      <c r="D56" s="109"/>
      <c r="E56" s="109"/>
      <c r="F56" s="109"/>
      <c r="G56" s="109"/>
      <c r="H56" s="110">
        <f>H16</f>
        <v>5</v>
      </c>
      <c r="I56" s="110"/>
      <c r="J56" s="110"/>
      <c r="K56" s="111">
        <f>K16</f>
        <v>234</v>
      </c>
      <c r="L56" s="111"/>
      <c r="M56" s="112" t="str">
        <f t="shared" ref="M56:M74" si="0">M16</f>
        <v>TH</v>
      </c>
      <c r="N56" s="112"/>
      <c r="O56" s="112"/>
      <c r="P56" s="35">
        <f>P16</f>
        <v>0</v>
      </c>
      <c r="R56" s="88"/>
      <c r="S56" s="88"/>
      <c r="T56" s="67"/>
      <c r="V56" s="147"/>
    </row>
    <row r="57" spans="1:22" ht="25.15" customHeight="1" x14ac:dyDescent="0.25">
      <c r="A57" s="32">
        <f t="shared" ref="A57:B72" si="1">A17</f>
        <v>0</v>
      </c>
      <c r="B57" s="109" t="str">
        <f t="shared" si="1"/>
        <v>324414-5832</v>
      </c>
      <c r="C57" s="109"/>
      <c r="D57" s="109"/>
      <c r="E57" s="109"/>
      <c r="F57" s="109"/>
      <c r="G57" s="109"/>
      <c r="H57" s="110">
        <f>H17</f>
        <v>1</v>
      </c>
      <c r="I57" s="110"/>
      <c r="J57" s="110"/>
      <c r="K57" s="111">
        <f>K17</f>
        <v>39</v>
      </c>
      <c r="L57" s="111"/>
      <c r="M57" s="112" t="str">
        <f t="shared" si="0"/>
        <v>OL</v>
      </c>
      <c r="N57" s="112"/>
      <c r="O57" s="112"/>
      <c r="P57" s="35">
        <f t="shared" ref="P57:P74" si="2">P17</f>
        <v>0</v>
      </c>
      <c r="R57" s="88"/>
      <c r="S57" s="88"/>
      <c r="T57" s="67"/>
      <c r="V57" s="148"/>
    </row>
    <row r="58" spans="1:22" ht="25.15" customHeight="1" x14ac:dyDescent="0.25">
      <c r="A58" s="32">
        <f t="shared" si="1"/>
        <v>0</v>
      </c>
      <c r="B58" s="109" t="str">
        <f t="shared" si="1"/>
        <v>201400-5828</v>
      </c>
      <c r="C58" s="109"/>
      <c r="D58" s="109"/>
      <c r="E58" s="109"/>
      <c r="F58" s="109"/>
      <c r="G58" s="109"/>
      <c r="H58" s="110">
        <f t="shared" ref="H58:H74" si="3">H18</f>
        <v>45</v>
      </c>
      <c r="I58" s="110"/>
      <c r="J58" s="110"/>
      <c r="K58" s="111">
        <f t="shared" ref="K58:K74" si="4">K18</f>
        <v>3971</v>
      </c>
      <c r="L58" s="111"/>
      <c r="M58" s="112" t="str">
        <f t="shared" si="0"/>
        <v>PE</v>
      </c>
      <c r="N58" s="112"/>
      <c r="O58" s="112"/>
      <c r="P58" s="35">
        <f t="shared" si="2"/>
        <v>0</v>
      </c>
      <c r="R58" s="88"/>
      <c r="S58" s="88"/>
      <c r="T58" s="67"/>
      <c r="V58" s="148"/>
    </row>
    <row r="59" spans="1:22" ht="25.15" customHeight="1" x14ac:dyDescent="0.25">
      <c r="A59" s="32">
        <f t="shared" si="1"/>
        <v>0</v>
      </c>
      <c r="B59" s="109" t="str">
        <f t="shared" si="1"/>
        <v>273732-5828</v>
      </c>
      <c r="C59" s="109"/>
      <c r="D59" s="109"/>
      <c r="E59" s="109"/>
      <c r="F59" s="109"/>
      <c r="G59" s="109"/>
      <c r="H59" s="110">
        <f t="shared" si="3"/>
        <v>1</v>
      </c>
      <c r="I59" s="110"/>
      <c r="J59" s="110"/>
      <c r="K59" s="111">
        <f t="shared" si="4"/>
        <v>47</v>
      </c>
      <c r="L59" s="111"/>
      <c r="M59" s="112" t="str">
        <f t="shared" si="0"/>
        <v>VN</v>
      </c>
      <c r="N59" s="112"/>
      <c r="O59" s="112"/>
      <c r="P59" s="35">
        <f t="shared" si="2"/>
        <v>0</v>
      </c>
      <c r="R59" s="88"/>
      <c r="S59" s="88"/>
      <c r="T59" s="67"/>
      <c r="V59" s="147"/>
    </row>
    <row r="60" spans="1:22" ht="25.15" customHeight="1" x14ac:dyDescent="0.25">
      <c r="A60" s="32">
        <f t="shared" si="1"/>
        <v>0</v>
      </c>
      <c r="B60" s="109" t="str">
        <f t="shared" si="1"/>
        <v>315863-5832</v>
      </c>
      <c r="C60" s="109"/>
      <c r="D60" s="109"/>
      <c r="E60" s="109"/>
      <c r="F60" s="109"/>
      <c r="G60" s="109"/>
      <c r="H60" s="110">
        <f t="shared" si="3"/>
        <v>1</v>
      </c>
      <c r="I60" s="110"/>
      <c r="J60" s="110"/>
      <c r="K60" s="111">
        <f t="shared" si="4"/>
        <v>107</v>
      </c>
      <c r="L60" s="111"/>
      <c r="M60" s="112" t="str">
        <f t="shared" si="0"/>
        <v>LH</v>
      </c>
      <c r="N60" s="112"/>
      <c r="O60" s="112"/>
      <c r="P60" s="35">
        <f t="shared" si="2"/>
        <v>0</v>
      </c>
      <c r="R60" s="88"/>
      <c r="S60" s="88"/>
      <c r="T60" s="67"/>
      <c r="V60" s="148"/>
    </row>
    <row r="61" spans="1:22" ht="25.15" customHeight="1" x14ac:dyDescent="0.25">
      <c r="A61" s="32">
        <f t="shared" si="1"/>
        <v>0</v>
      </c>
      <c r="B61" s="109" t="str">
        <f t="shared" si="1"/>
        <v>317453-5832</v>
      </c>
      <c r="C61" s="109"/>
      <c r="D61" s="109"/>
      <c r="E61" s="109"/>
      <c r="F61" s="109"/>
      <c r="G61" s="109"/>
      <c r="H61" s="110">
        <f t="shared" si="3"/>
        <v>2</v>
      </c>
      <c r="I61" s="110"/>
      <c r="J61" s="110"/>
      <c r="K61" s="111">
        <f t="shared" si="4"/>
        <v>156</v>
      </c>
      <c r="L61" s="111"/>
      <c r="M61" s="112" t="str">
        <f t="shared" si="0"/>
        <v>SW</v>
      </c>
      <c r="N61" s="112"/>
      <c r="O61" s="112"/>
      <c r="P61" s="35">
        <f t="shared" si="2"/>
        <v>0</v>
      </c>
      <c r="R61" s="88"/>
      <c r="S61" s="88"/>
      <c r="T61" s="67"/>
      <c r="V61" s="148"/>
    </row>
    <row r="62" spans="1:22" ht="25.15" customHeight="1" x14ac:dyDescent="0.25">
      <c r="A62" s="32">
        <f t="shared" si="1"/>
        <v>0</v>
      </c>
      <c r="B62" s="109" t="str">
        <f t="shared" si="1"/>
        <v>323242-5832</v>
      </c>
      <c r="C62" s="109"/>
      <c r="D62" s="109"/>
      <c r="E62" s="109"/>
      <c r="F62" s="109"/>
      <c r="G62" s="109"/>
      <c r="H62" s="110">
        <f t="shared" si="3"/>
        <v>6</v>
      </c>
      <c r="I62" s="110"/>
      <c r="J62" s="110"/>
      <c r="K62" s="111">
        <f t="shared" si="4"/>
        <v>403</v>
      </c>
      <c r="L62" s="111"/>
      <c r="M62" s="112" t="str">
        <f t="shared" si="0"/>
        <v>SW,LH</v>
      </c>
      <c r="N62" s="112"/>
      <c r="O62" s="112"/>
      <c r="P62" s="35">
        <f t="shared" si="2"/>
        <v>0</v>
      </c>
      <c r="R62" s="88"/>
      <c r="S62" s="88"/>
      <c r="T62" s="67"/>
    </row>
    <row r="63" spans="1:22" ht="25.15" customHeight="1" x14ac:dyDescent="0.25">
      <c r="A63" s="32">
        <f t="shared" si="1"/>
        <v>0</v>
      </c>
      <c r="B63" s="109" t="str">
        <f t="shared" si="1"/>
        <v>325380-5832</v>
      </c>
      <c r="C63" s="109"/>
      <c r="D63" s="109"/>
      <c r="E63" s="109"/>
      <c r="F63" s="109"/>
      <c r="G63" s="109"/>
      <c r="H63" s="110">
        <f t="shared" si="3"/>
        <v>63</v>
      </c>
      <c r="I63" s="110"/>
      <c r="J63" s="110"/>
      <c r="K63" s="111">
        <f t="shared" si="4"/>
        <v>4300</v>
      </c>
      <c r="L63" s="111"/>
      <c r="M63" s="112" t="str">
        <f t="shared" si="0"/>
        <v>PLW067,PLW237,LH</v>
      </c>
      <c r="N63" s="112"/>
      <c r="O63" s="112"/>
      <c r="P63" s="35">
        <f t="shared" si="2"/>
        <v>0</v>
      </c>
      <c r="R63" s="88"/>
      <c r="S63" s="88"/>
      <c r="T63" s="67"/>
    </row>
    <row r="64" spans="1:22" ht="25.15" customHeight="1" x14ac:dyDescent="0.25">
      <c r="A64" s="32">
        <f t="shared" si="1"/>
        <v>0</v>
      </c>
      <c r="B64" s="109" t="str">
        <f t="shared" si="1"/>
        <v>298564-7272</v>
      </c>
      <c r="C64" s="109"/>
      <c r="D64" s="109"/>
      <c r="E64" s="109"/>
      <c r="F64" s="109"/>
      <c r="G64" s="109"/>
      <c r="H64" s="110">
        <f t="shared" si="3"/>
        <v>30</v>
      </c>
      <c r="I64" s="110"/>
      <c r="J64" s="110"/>
      <c r="K64" s="111">
        <f t="shared" si="4"/>
        <v>2210</v>
      </c>
      <c r="L64" s="111"/>
      <c r="M64" s="112" t="str">
        <f t="shared" si="0"/>
        <v>TH,PH</v>
      </c>
      <c r="N64" s="112"/>
      <c r="O64" s="112"/>
      <c r="P64" s="35">
        <f t="shared" si="2"/>
        <v>0</v>
      </c>
      <c r="R64" s="88"/>
      <c r="S64" s="88"/>
      <c r="T64" s="67"/>
    </row>
    <row r="65" spans="1:20" ht="25.15" customHeight="1" x14ac:dyDescent="0.25">
      <c r="A65" s="32">
        <f t="shared" si="1"/>
        <v>0</v>
      </c>
      <c r="B65" s="109" t="str">
        <f t="shared" si="1"/>
        <v>205423-5832</v>
      </c>
      <c r="C65" s="109"/>
      <c r="D65" s="109"/>
      <c r="E65" s="109"/>
      <c r="F65" s="109"/>
      <c r="G65" s="109"/>
      <c r="H65" s="110">
        <f t="shared" si="3"/>
        <v>8</v>
      </c>
      <c r="I65" s="110"/>
      <c r="J65" s="110"/>
      <c r="K65" s="111">
        <f t="shared" si="4"/>
        <v>608</v>
      </c>
      <c r="L65" s="111"/>
      <c r="M65" s="112" t="str">
        <f t="shared" si="0"/>
        <v>PE</v>
      </c>
      <c r="N65" s="112"/>
      <c r="O65" s="112"/>
      <c r="P65" s="35">
        <f t="shared" si="2"/>
        <v>0</v>
      </c>
      <c r="R65" s="88"/>
      <c r="S65" s="88"/>
      <c r="T65" s="67"/>
    </row>
    <row r="66" spans="1:20" ht="25.15" customHeight="1" x14ac:dyDescent="0.25">
      <c r="A66" s="32">
        <f t="shared" si="1"/>
        <v>0</v>
      </c>
      <c r="B66" s="109" t="str">
        <f t="shared" si="1"/>
        <v>290659-5832</v>
      </c>
      <c r="C66" s="109"/>
      <c r="D66" s="109"/>
      <c r="E66" s="109"/>
      <c r="F66" s="109"/>
      <c r="G66" s="109"/>
      <c r="H66" s="110">
        <f t="shared" si="3"/>
        <v>18</v>
      </c>
      <c r="I66" s="110"/>
      <c r="J66" s="110"/>
      <c r="K66" s="111">
        <f t="shared" si="4"/>
        <v>955</v>
      </c>
      <c r="L66" s="111"/>
      <c r="M66" s="112" t="str">
        <f t="shared" si="0"/>
        <v>PH</v>
      </c>
      <c r="N66" s="112"/>
      <c r="O66" s="112"/>
      <c r="P66" s="35">
        <f t="shared" si="2"/>
        <v>0</v>
      </c>
      <c r="R66" s="88"/>
      <c r="S66" s="88"/>
      <c r="T66" s="67"/>
    </row>
    <row r="67" spans="1:20" ht="25.15" customHeight="1" x14ac:dyDescent="0.25">
      <c r="A67" s="32">
        <f t="shared" si="1"/>
        <v>0</v>
      </c>
      <c r="B67" s="109" t="str">
        <f t="shared" si="1"/>
        <v>290658-5832</v>
      </c>
      <c r="C67" s="109"/>
      <c r="D67" s="109"/>
      <c r="E67" s="109"/>
      <c r="F67" s="109"/>
      <c r="G67" s="109"/>
      <c r="H67" s="110">
        <f t="shared" si="3"/>
        <v>5</v>
      </c>
      <c r="I67" s="110"/>
      <c r="J67" s="110"/>
      <c r="K67" s="111">
        <f t="shared" si="4"/>
        <v>198</v>
      </c>
      <c r="L67" s="111"/>
      <c r="M67" s="112" t="str">
        <f t="shared" si="0"/>
        <v>TH</v>
      </c>
      <c r="N67" s="112"/>
      <c r="O67" s="112"/>
      <c r="P67" s="35">
        <f t="shared" si="2"/>
        <v>0</v>
      </c>
      <c r="R67" s="88"/>
      <c r="S67" s="88"/>
      <c r="T67" s="67"/>
    </row>
    <row r="68" spans="1:20" ht="25.15" customHeight="1" x14ac:dyDescent="0.25">
      <c r="A68" s="32">
        <f t="shared" si="1"/>
        <v>0</v>
      </c>
      <c r="B68" s="109" t="str">
        <f t="shared" si="1"/>
        <v>315866-5832</v>
      </c>
      <c r="C68" s="109"/>
      <c r="D68" s="109"/>
      <c r="E68" s="109"/>
      <c r="F68" s="109"/>
      <c r="G68" s="109"/>
      <c r="H68" s="110">
        <f t="shared" si="3"/>
        <v>1</v>
      </c>
      <c r="I68" s="110"/>
      <c r="J68" s="110"/>
      <c r="K68" s="111">
        <f t="shared" si="4"/>
        <v>24</v>
      </c>
      <c r="L68" s="111"/>
      <c r="M68" s="112" t="str">
        <f t="shared" si="0"/>
        <v>SW</v>
      </c>
      <c r="N68" s="112"/>
      <c r="O68" s="112"/>
      <c r="P68" s="35">
        <f t="shared" si="2"/>
        <v>0</v>
      </c>
      <c r="R68" s="88"/>
      <c r="S68" s="88"/>
      <c r="T68" s="67"/>
    </row>
    <row r="69" spans="1:20" ht="25.15" customHeight="1" x14ac:dyDescent="0.25">
      <c r="A69" s="32">
        <f t="shared" si="1"/>
        <v>0</v>
      </c>
      <c r="B69" s="109" t="str">
        <f t="shared" si="1"/>
        <v>309497-5828</v>
      </c>
      <c r="C69" s="109"/>
      <c r="D69" s="109"/>
      <c r="E69" s="109"/>
      <c r="F69" s="109"/>
      <c r="G69" s="109"/>
      <c r="H69" s="110">
        <f t="shared" si="3"/>
        <v>16</v>
      </c>
      <c r="I69" s="110"/>
      <c r="J69" s="110"/>
      <c r="K69" s="111">
        <f t="shared" si="4"/>
        <v>785</v>
      </c>
      <c r="L69" s="111"/>
      <c r="M69" s="112" t="str">
        <f t="shared" si="0"/>
        <v>LH</v>
      </c>
      <c r="N69" s="112"/>
      <c r="O69" s="112"/>
      <c r="P69" s="35">
        <f t="shared" si="2"/>
        <v>0</v>
      </c>
      <c r="R69" s="88"/>
      <c r="S69" s="88"/>
      <c r="T69" s="67"/>
    </row>
    <row r="70" spans="1:20" ht="25.15" customHeight="1" x14ac:dyDescent="0.25">
      <c r="A70" s="32">
        <f t="shared" si="1"/>
        <v>0</v>
      </c>
      <c r="B70" s="109" t="str">
        <f t="shared" si="1"/>
        <v>296311-5832</v>
      </c>
      <c r="C70" s="109"/>
      <c r="D70" s="109"/>
      <c r="E70" s="109"/>
      <c r="F70" s="109"/>
      <c r="G70" s="109"/>
      <c r="H70" s="110">
        <f t="shared" si="3"/>
        <v>37</v>
      </c>
      <c r="I70" s="110"/>
      <c r="J70" s="110"/>
      <c r="K70" s="111">
        <f t="shared" si="4"/>
        <v>2037</v>
      </c>
      <c r="L70" s="111"/>
      <c r="M70" s="112" t="str">
        <f t="shared" si="0"/>
        <v>TH</v>
      </c>
      <c r="N70" s="112"/>
      <c r="O70" s="112"/>
      <c r="P70" s="35">
        <f t="shared" si="2"/>
        <v>0</v>
      </c>
      <c r="R70" s="88"/>
      <c r="S70" s="88"/>
      <c r="T70" s="67"/>
    </row>
    <row r="71" spans="1:20" ht="25.15" customHeight="1" x14ac:dyDescent="0.25">
      <c r="A71" s="32">
        <f t="shared" si="1"/>
        <v>0</v>
      </c>
      <c r="B71" s="109" t="str">
        <f t="shared" si="1"/>
        <v>993118-1347</v>
      </c>
      <c r="C71" s="109"/>
      <c r="D71" s="109"/>
      <c r="E71" s="109"/>
      <c r="F71" s="109"/>
      <c r="G71" s="109"/>
      <c r="H71" s="110">
        <f t="shared" si="3"/>
        <v>21</v>
      </c>
      <c r="I71" s="110"/>
      <c r="J71" s="110"/>
      <c r="K71" s="111">
        <f t="shared" si="4"/>
        <v>574</v>
      </c>
      <c r="L71" s="111"/>
      <c r="M71" s="112" t="str">
        <f t="shared" si="0"/>
        <v>PE</v>
      </c>
      <c r="N71" s="112"/>
      <c r="O71" s="112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09" t="str">
        <f t="shared" si="1"/>
        <v>277743-7952</v>
      </c>
      <c r="C72" s="109"/>
      <c r="D72" s="109"/>
      <c r="E72" s="109"/>
      <c r="F72" s="109"/>
      <c r="G72" s="109"/>
      <c r="H72" s="110">
        <f t="shared" si="3"/>
        <v>4</v>
      </c>
      <c r="I72" s="110"/>
      <c r="J72" s="110"/>
      <c r="K72" s="111">
        <f t="shared" si="4"/>
        <v>197</v>
      </c>
      <c r="L72" s="111"/>
      <c r="M72" s="112" t="str">
        <f t="shared" si="0"/>
        <v>VN</v>
      </c>
      <c r="N72" s="112"/>
      <c r="O72" s="112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09" t="str">
        <f t="shared" si="5"/>
        <v>986995-1643</v>
      </c>
      <c r="C73" s="109"/>
      <c r="D73" s="109"/>
      <c r="E73" s="109"/>
      <c r="F73" s="109"/>
      <c r="G73" s="109"/>
      <c r="H73" s="110">
        <f t="shared" si="3"/>
        <v>14</v>
      </c>
      <c r="I73" s="110"/>
      <c r="J73" s="110"/>
      <c r="K73" s="111">
        <f t="shared" si="4"/>
        <v>506</v>
      </c>
      <c r="L73" s="111"/>
      <c r="M73" s="112" t="str">
        <f t="shared" si="0"/>
        <v>PE</v>
      </c>
      <c r="N73" s="112"/>
      <c r="O73" s="112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09">
        <f t="shared" si="5"/>
        <v>0</v>
      </c>
      <c r="C74" s="109"/>
      <c r="D74" s="109"/>
      <c r="E74" s="109"/>
      <c r="F74" s="109"/>
      <c r="G74" s="109"/>
      <c r="H74" s="110">
        <f t="shared" si="3"/>
        <v>0</v>
      </c>
      <c r="I74" s="110"/>
      <c r="J74" s="110"/>
      <c r="K74" s="111">
        <f t="shared" si="4"/>
        <v>0</v>
      </c>
      <c r="L74" s="111"/>
      <c r="M74" s="112">
        <f t="shared" si="0"/>
        <v>0</v>
      </c>
      <c r="N74" s="112"/>
      <c r="O74" s="112"/>
      <c r="P74" s="35">
        <f t="shared" si="2"/>
        <v>0</v>
      </c>
    </row>
    <row r="75" spans="1:20" ht="21.95" customHeight="1" thickBot="1" x14ac:dyDescent="0.3">
      <c r="A75" s="126" t="s">
        <v>17</v>
      </c>
      <c r="B75" s="127"/>
      <c r="C75" s="127"/>
      <c r="D75" s="127"/>
      <c r="E75" s="127"/>
      <c r="F75" s="127"/>
      <c r="G75" s="116"/>
      <c r="H75" s="128">
        <f>SUM(H55:J74)</f>
        <v>280</v>
      </c>
      <c r="I75" s="129"/>
      <c r="J75" s="130"/>
      <c r="K75" s="131">
        <f>SUM(K55:L74)</f>
        <v>17474</v>
      </c>
      <c r="L75" s="132"/>
      <c r="M75" s="133"/>
      <c r="N75" s="134"/>
      <c r="O75" s="135"/>
      <c r="P75" s="19"/>
    </row>
    <row r="77" spans="1:20" ht="31.9" customHeight="1" x14ac:dyDescent="0.25">
      <c r="A77" s="137" t="s">
        <v>22</v>
      </c>
      <c r="B77" s="138"/>
      <c r="C77" s="138"/>
      <c r="D77" s="139" t="str">
        <f>D37</f>
        <v>MD.JAKIR</v>
      </c>
      <c r="E77" s="139"/>
      <c r="F77" s="139"/>
      <c r="G77" s="138" t="s">
        <v>23</v>
      </c>
      <c r="H77" s="138"/>
      <c r="I77" s="138"/>
      <c r="J77" s="138"/>
      <c r="K77" s="138"/>
      <c r="L77" s="138"/>
      <c r="M77" s="140" t="str">
        <f>M37</f>
        <v>01744-114979</v>
      </c>
      <c r="N77" s="140"/>
      <c r="O77" s="140"/>
      <c r="P77" s="141"/>
    </row>
    <row r="78" spans="1:20" ht="31.9" customHeight="1" x14ac:dyDescent="0.25">
      <c r="A78" s="142" t="s">
        <v>24</v>
      </c>
      <c r="B78" s="143"/>
      <c r="C78" s="143"/>
      <c r="D78" s="144" t="str">
        <f>D38</f>
        <v>P046</v>
      </c>
      <c r="E78" s="144"/>
      <c r="F78" s="144"/>
      <c r="G78" s="143" t="s">
        <v>25</v>
      </c>
      <c r="H78" s="143"/>
      <c r="I78" s="143"/>
      <c r="J78" s="143"/>
      <c r="K78" s="143"/>
      <c r="L78" s="143"/>
      <c r="M78" s="145" t="str">
        <f>M38</f>
        <v>DM-TA 11-8150</v>
      </c>
      <c r="N78" s="145"/>
      <c r="O78" s="145"/>
      <c r="P78" s="146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36" t="s">
        <v>18</v>
      </c>
      <c r="B80" s="136"/>
      <c r="C80" s="136"/>
      <c r="D80" s="4"/>
      <c r="E80" s="4"/>
      <c r="F80" s="136" t="s">
        <v>19</v>
      </c>
      <c r="G80" s="136"/>
      <c r="H80" s="36"/>
      <c r="I80" s="36"/>
      <c r="J80" s="36"/>
      <c r="K80" s="4"/>
      <c r="L80" s="136" t="s">
        <v>20</v>
      </c>
      <c r="M80" s="136"/>
      <c r="N80" s="136"/>
      <c r="O80" s="136"/>
      <c r="P80" s="136"/>
    </row>
    <row r="81" spans="1:22" ht="8.25" customHeight="1" x14ac:dyDescent="0.25"/>
    <row r="82" spans="1:22" ht="36.75" customHeight="1" x14ac:dyDescent="0.25">
      <c r="A82" s="37"/>
      <c r="B82" s="37"/>
      <c r="C82" s="37"/>
      <c r="D82" s="38" t="s">
        <v>27</v>
      </c>
      <c r="E82" s="38"/>
      <c r="F82" s="38"/>
      <c r="G82" s="38"/>
      <c r="H82" s="38"/>
      <c r="I82" s="38"/>
      <c r="J82" s="38"/>
      <c r="K82" s="38"/>
      <c r="L82" s="38"/>
      <c r="M82" s="39" t="str">
        <f>M42</f>
        <v>FORM STR 03
REVISION NO 01</v>
      </c>
      <c r="N82" s="39"/>
      <c r="O82" s="39"/>
      <c r="P82" s="39"/>
      <c r="Q82" s="10"/>
    </row>
    <row r="83" spans="1:22" ht="22.15" customHeight="1" x14ac:dyDescent="0.25">
      <c r="A83" s="37"/>
      <c r="B83" s="37"/>
      <c r="C83" s="37"/>
      <c r="D83" s="38"/>
      <c r="E83" s="38"/>
      <c r="F83" s="38"/>
      <c r="G83" s="38"/>
      <c r="H83" s="38"/>
      <c r="I83" s="38"/>
      <c r="J83" s="38"/>
      <c r="K83" s="38"/>
      <c r="L83" s="38"/>
      <c r="M83" s="39"/>
      <c r="N83" s="39"/>
      <c r="O83" s="39"/>
      <c r="P83" s="39"/>
      <c r="Q83" s="10"/>
    </row>
    <row r="84" spans="1:22" ht="17.45" customHeight="1" x14ac:dyDescent="0.25">
      <c r="A84" s="40"/>
      <c r="B84" s="40"/>
      <c r="C84" s="40"/>
      <c r="D84" s="41" t="s">
        <v>21</v>
      </c>
      <c r="E84" s="41"/>
      <c r="F84" s="41"/>
      <c r="G84" s="41"/>
      <c r="H84" s="41"/>
      <c r="I84" s="41"/>
      <c r="J84" s="41"/>
      <c r="K84" s="41"/>
      <c r="L84" s="41"/>
      <c r="M84" s="11"/>
    </row>
    <row r="85" spans="1:22" ht="22.15" customHeight="1" thickBot="1" x14ac:dyDescent="0.35">
      <c r="A85" s="42"/>
      <c r="B85" s="42"/>
      <c r="C85" s="1"/>
      <c r="D85" s="43" t="s">
        <v>91</v>
      </c>
      <c r="E85" s="43"/>
      <c r="F85" s="43"/>
      <c r="G85" s="43"/>
      <c r="H85" s="43"/>
      <c r="I85" s="43"/>
      <c r="J85" s="43"/>
      <c r="K85" s="43"/>
      <c r="L85" s="43"/>
      <c r="M85" s="2"/>
      <c r="N85" s="37"/>
      <c r="O85" s="37"/>
      <c r="P85" s="37"/>
    </row>
    <row r="86" spans="1:22" ht="15.6" customHeight="1" thickBot="1" x14ac:dyDescent="0.35">
      <c r="A86" s="71" t="s">
        <v>9</v>
      </c>
      <c r="B86" s="72"/>
      <c r="C86" s="73" t="str">
        <f>C46</f>
        <v>O539</v>
      </c>
      <c r="D86" s="73"/>
      <c r="E86" s="73"/>
      <c r="F86" s="74"/>
      <c r="G86" s="2"/>
      <c r="H86" s="75" t="s">
        <v>4</v>
      </c>
      <c r="I86" s="76"/>
      <c r="J86" s="76"/>
      <c r="K86" s="8" t="s">
        <v>7</v>
      </c>
      <c r="L86" s="77" t="str">
        <f>L46</f>
        <v>JP 523797</v>
      </c>
      <c r="M86" s="77"/>
      <c r="N86" s="77"/>
      <c r="O86" s="77"/>
      <c r="P86" s="78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52" t="s">
        <v>5</v>
      </c>
      <c r="I87" s="53"/>
      <c r="J87" s="53"/>
      <c r="K87" s="9" t="s">
        <v>7</v>
      </c>
      <c r="L87" s="79">
        <f ca="1">L47</f>
        <v>45689.589567129631</v>
      </c>
      <c r="M87" s="79"/>
      <c r="N87" s="79"/>
      <c r="O87" s="79"/>
      <c r="P87" s="80"/>
      <c r="R87" s="88"/>
      <c r="S87" s="88"/>
      <c r="T87" s="147"/>
      <c r="U87" s="26"/>
      <c r="V87" s="147"/>
    </row>
    <row r="88" spans="1:22" ht="18" customHeight="1" x14ac:dyDescent="0.3">
      <c r="A88" s="46" t="str">
        <f>A48</f>
        <v>Summit Alliance Port Ltd. (SAPL).
Katghar, South Patenga, Chattogram.</v>
      </c>
      <c r="B88" s="47"/>
      <c r="C88" s="47"/>
      <c r="D88" s="47"/>
      <c r="E88" s="47"/>
      <c r="F88" s="48"/>
      <c r="G88" s="2"/>
      <c r="H88" s="52" t="s">
        <v>8</v>
      </c>
      <c r="I88" s="53"/>
      <c r="J88" s="53"/>
      <c r="K88" s="9" t="s">
        <v>7</v>
      </c>
      <c r="L88" s="54" t="str">
        <f>L48</f>
        <v>SEA</v>
      </c>
      <c r="M88" s="54"/>
      <c r="N88" s="54"/>
      <c r="O88" s="54"/>
      <c r="P88" s="55"/>
      <c r="R88" s="88"/>
      <c r="S88" s="88"/>
      <c r="T88" s="148"/>
      <c r="U88" s="26"/>
      <c r="V88" s="148"/>
    </row>
    <row r="89" spans="1:22" ht="17.45" customHeight="1" x14ac:dyDescent="0.3">
      <c r="A89" s="46"/>
      <c r="B89" s="47"/>
      <c r="C89" s="47"/>
      <c r="D89" s="47"/>
      <c r="E89" s="47"/>
      <c r="F89" s="48"/>
      <c r="G89" s="2"/>
      <c r="H89" s="56" t="s">
        <v>6</v>
      </c>
      <c r="I89" s="57"/>
      <c r="J89" s="57"/>
      <c r="K89" s="62" t="s">
        <v>7</v>
      </c>
      <c r="L89" s="65" t="str">
        <f>L49</f>
        <v>M/S. Kabir &amp; Co.
1104DT Road West Madarbari,
Chattogram, Bangladesh.</v>
      </c>
      <c r="M89" s="65"/>
      <c r="N89" s="65"/>
      <c r="O89" s="65"/>
      <c r="P89" s="66"/>
      <c r="R89" s="88"/>
      <c r="S89" s="88"/>
      <c r="T89" s="148"/>
      <c r="U89" s="26"/>
      <c r="V89" s="148"/>
    </row>
    <row r="90" spans="1:22" ht="18" thickBot="1" x14ac:dyDescent="0.35">
      <c r="A90" s="49"/>
      <c r="B90" s="50"/>
      <c r="C90" s="50"/>
      <c r="D90" s="50"/>
      <c r="E90" s="50"/>
      <c r="F90" s="51"/>
      <c r="G90" s="2"/>
      <c r="H90" s="58"/>
      <c r="I90" s="59"/>
      <c r="J90" s="59"/>
      <c r="K90" s="63"/>
      <c r="L90" s="67"/>
      <c r="M90" s="67"/>
      <c r="N90" s="67"/>
      <c r="O90" s="67"/>
      <c r="P90" s="68"/>
      <c r="R90" s="88"/>
      <c r="S90" s="88"/>
      <c r="T90" s="147"/>
      <c r="U90" s="26"/>
      <c r="V90" s="147"/>
    </row>
    <row r="91" spans="1:22" ht="18" customHeight="1" thickBot="1" x14ac:dyDescent="0.35">
      <c r="A91" s="42"/>
      <c r="B91" s="42"/>
      <c r="C91" s="1"/>
      <c r="D91" s="2"/>
      <c r="E91" s="2"/>
      <c r="F91" s="2"/>
      <c r="G91" s="2"/>
      <c r="H91" s="60"/>
      <c r="I91" s="61"/>
      <c r="J91" s="61"/>
      <c r="K91" s="64"/>
      <c r="L91" s="69"/>
      <c r="M91" s="69"/>
      <c r="N91" s="69"/>
      <c r="O91" s="69"/>
      <c r="P91" s="70"/>
      <c r="R91" s="88"/>
      <c r="S91" s="88"/>
      <c r="T91" s="147"/>
      <c r="U91" s="26"/>
      <c r="V91" s="148"/>
    </row>
    <row r="92" spans="1:22" ht="16.149999999999999" customHeight="1" x14ac:dyDescent="0.25">
      <c r="A92" s="103" t="s">
        <v>12</v>
      </c>
      <c r="B92" s="104"/>
      <c r="C92" s="105" t="s">
        <v>0</v>
      </c>
      <c r="D92" s="105"/>
      <c r="E92" s="105"/>
      <c r="F92" s="105"/>
      <c r="G92" s="105"/>
      <c r="H92" s="81" t="s">
        <v>1</v>
      </c>
      <c r="I92" s="82"/>
      <c r="J92" s="82"/>
      <c r="K92" s="82"/>
      <c r="L92" s="83"/>
      <c r="M92" s="84" t="s">
        <v>16</v>
      </c>
      <c r="N92" s="85"/>
      <c r="O92" s="86"/>
      <c r="P92" s="93" t="s">
        <v>3</v>
      </c>
      <c r="R92" s="88"/>
      <c r="S92" s="88"/>
      <c r="T92" s="147"/>
      <c r="U92" s="26"/>
      <c r="V92" s="148"/>
    </row>
    <row r="93" spans="1:22" ht="16.149999999999999" customHeight="1" x14ac:dyDescent="0.25">
      <c r="A93" s="3" t="s">
        <v>13</v>
      </c>
      <c r="B93" s="33">
        <f>B53</f>
        <v>1</v>
      </c>
      <c r="C93" s="96" t="str">
        <f>C53</f>
        <v>Delivery of Readymade Garments</v>
      </c>
      <c r="D93" s="96"/>
      <c r="E93" s="96"/>
      <c r="F93" s="96"/>
      <c r="G93" s="96"/>
      <c r="H93" s="97" t="s">
        <v>2</v>
      </c>
      <c r="I93" s="98"/>
      <c r="J93" s="99"/>
      <c r="K93" s="97" t="s">
        <v>15</v>
      </c>
      <c r="L93" s="99"/>
      <c r="M93" s="87"/>
      <c r="N93" s="88"/>
      <c r="O93" s="89"/>
      <c r="P93" s="94"/>
      <c r="R93" s="88"/>
      <c r="S93" s="88"/>
      <c r="T93" s="147"/>
      <c r="V93" s="147"/>
    </row>
    <row r="94" spans="1:22" ht="16.149999999999999" customHeight="1" thickBot="1" x14ac:dyDescent="0.3">
      <c r="A94" s="113" t="s">
        <v>11</v>
      </c>
      <c r="B94" s="114"/>
      <c r="C94" s="115" t="str">
        <f>C54</f>
        <v>H &amp; M</v>
      </c>
      <c r="D94" s="116"/>
      <c r="E94" s="117" t="s">
        <v>88</v>
      </c>
      <c r="F94" s="118"/>
      <c r="G94" s="114"/>
      <c r="H94" s="100"/>
      <c r="I94" s="101"/>
      <c r="J94" s="102"/>
      <c r="K94" s="100"/>
      <c r="L94" s="102"/>
      <c r="M94" s="90"/>
      <c r="N94" s="91"/>
      <c r="O94" s="92"/>
      <c r="P94" s="95"/>
      <c r="R94" s="88"/>
      <c r="S94" s="88"/>
      <c r="T94" s="147"/>
      <c r="V94" s="148"/>
    </row>
    <row r="95" spans="1:22" ht="25.15" customHeight="1" x14ac:dyDescent="0.25">
      <c r="A95" s="31">
        <f>A55</f>
        <v>0</v>
      </c>
      <c r="B95" s="119" t="str">
        <f>B55</f>
        <v>324425-5832</v>
      </c>
      <c r="C95" s="119"/>
      <c r="D95" s="119"/>
      <c r="E95" s="119"/>
      <c r="F95" s="119"/>
      <c r="G95" s="119"/>
      <c r="H95" s="120">
        <f>H55</f>
        <v>2</v>
      </c>
      <c r="I95" s="121"/>
      <c r="J95" s="122"/>
      <c r="K95" s="123">
        <f>K55</f>
        <v>123</v>
      </c>
      <c r="L95" s="124"/>
      <c r="M95" s="106" t="str">
        <f>M55</f>
        <v>PL</v>
      </c>
      <c r="N95" s="107"/>
      <c r="O95" s="108"/>
      <c r="P95" s="34">
        <f>P55</f>
        <v>0</v>
      </c>
      <c r="R95" s="88"/>
      <c r="S95" s="88"/>
      <c r="T95" s="147"/>
      <c r="V95" s="148"/>
    </row>
    <row r="96" spans="1:22" ht="25.15" customHeight="1" x14ac:dyDescent="0.25">
      <c r="A96" s="32">
        <f>A56</f>
        <v>0</v>
      </c>
      <c r="B96" s="109" t="str">
        <f>B56</f>
        <v>285475-5832</v>
      </c>
      <c r="C96" s="109"/>
      <c r="D96" s="109"/>
      <c r="E96" s="109"/>
      <c r="F96" s="109"/>
      <c r="G96" s="109"/>
      <c r="H96" s="110">
        <f>H56</f>
        <v>5</v>
      </c>
      <c r="I96" s="110"/>
      <c r="J96" s="110"/>
      <c r="K96" s="111">
        <f>K56</f>
        <v>234</v>
      </c>
      <c r="L96" s="111"/>
      <c r="M96" s="112" t="str">
        <f>M56</f>
        <v>TH</v>
      </c>
      <c r="N96" s="112"/>
      <c r="O96" s="112"/>
      <c r="P96" s="35">
        <f>P56</f>
        <v>0</v>
      </c>
      <c r="R96" s="88"/>
      <c r="S96" s="88"/>
      <c r="T96" s="67"/>
      <c r="V96" s="147"/>
    </row>
    <row r="97" spans="1:22" ht="25.15" customHeight="1" x14ac:dyDescent="0.25">
      <c r="A97" s="32">
        <f t="shared" ref="A97:B112" si="6">A57</f>
        <v>0</v>
      </c>
      <c r="B97" s="109" t="str">
        <f t="shared" si="6"/>
        <v>324414-5832</v>
      </c>
      <c r="C97" s="109"/>
      <c r="D97" s="109"/>
      <c r="E97" s="109"/>
      <c r="F97" s="109"/>
      <c r="G97" s="109"/>
      <c r="H97" s="110">
        <f>H57</f>
        <v>1</v>
      </c>
      <c r="I97" s="110"/>
      <c r="J97" s="110"/>
      <c r="K97" s="111">
        <f>K57</f>
        <v>39</v>
      </c>
      <c r="L97" s="111"/>
      <c r="M97" s="112" t="str">
        <f t="shared" ref="M97:M114" si="7">M57</f>
        <v>OL</v>
      </c>
      <c r="N97" s="112"/>
      <c r="O97" s="112"/>
      <c r="P97" s="35">
        <f t="shared" ref="P97:P114" si="8">P57</f>
        <v>0</v>
      </c>
      <c r="R97" s="88"/>
      <c r="S97" s="88"/>
      <c r="T97" s="67"/>
      <c r="V97" s="148"/>
    </row>
    <row r="98" spans="1:22" ht="25.15" customHeight="1" x14ac:dyDescent="0.25">
      <c r="A98" s="32">
        <f t="shared" si="6"/>
        <v>0</v>
      </c>
      <c r="B98" s="109" t="str">
        <f t="shared" si="6"/>
        <v>201400-5828</v>
      </c>
      <c r="C98" s="109"/>
      <c r="D98" s="109"/>
      <c r="E98" s="109"/>
      <c r="F98" s="109"/>
      <c r="G98" s="109"/>
      <c r="H98" s="110">
        <f t="shared" ref="H98:H114" si="9">H58</f>
        <v>45</v>
      </c>
      <c r="I98" s="110"/>
      <c r="J98" s="110"/>
      <c r="K98" s="111">
        <f t="shared" ref="K98:K114" si="10">K58</f>
        <v>3971</v>
      </c>
      <c r="L98" s="111"/>
      <c r="M98" s="112" t="str">
        <f t="shared" si="7"/>
        <v>PE</v>
      </c>
      <c r="N98" s="112"/>
      <c r="O98" s="112"/>
      <c r="P98" s="35">
        <f t="shared" si="8"/>
        <v>0</v>
      </c>
      <c r="R98" s="88"/>
      <c r="S98" s="88"/>
      <c r="T98" s="67"/>
      <c r="V98" s="148"/>
    </row>
    <row r="99" spans="1:22" ht="25.15" customHeight="1" x14ac:dyDescent="0.25">
      <c r="A99" s="32">
        <f t="shared" si="6"/>
        <v>0</v>
      </c>
      <c r="B99" s="109" t="str">
        <f t="shared" si="6"/>
        <v>273732-5828</v>
      </c>
      <c r="C99" s="109"/>
      <c r="D99" s="109"/>
      <c r="E99" s="109"/>
      <c r="F99" s="109"/>
      <c r="G99" s="109"/>
      <c r="H99" s="110">
        <f t="shared" si="9"/>
        <v>1</v>
      </c>
      <c r="I99" s="110"/>
      <c r="J99" s="110"/>
      <c r="K99" s="111">
        <f t="shared" si="10"/>
        <v>47</v>
      </c>
      <c r="L99" s="111"/>
      <c r="M99" s="112" t="str">
        <f t="shared" si="7"/>
        <v>VN</v>
      </c>
      <c r="N99" s="112"/>
      <c r="O99" s="112"/>
      <c r="P99" s="35">
        <f t="shared" si="8"/>
        <v>0</v>
      </c>
      <c r="R99" s="88"/>
      <c r="S99" s="88"/>
      <c r="T99" s="67"/>
      <c r="V99" s="147"/>
    </row>
    <row r="100" spans="1:22" ht="25.15" customHeight="1" x14ac:dyDescent="0.25">
      <c r="A100" s="32">
        <f t="shared" si="6"/>
        <v>0</v>
      </c>
      <c r="B100" s="109" t="str">
        <f t="shared" si="6"/>
        <v>315863-5832</v>
      </c>
      <c r="C100" s="109"/>
      <c r="D100" s="109"/>
      <c r="E100" s="109"/>
      <c r="F100" s="109"/>
      <c r="G100" s="109"/>
      <c r="H100" s="110">
        <f t="shared" si="9"/>
        <v>1</v>
      </c>
      <c r="I100" s="110"/>
      <c r="J100" s="110"/>
      <c r="K100" s="111">
        <f t="shared" si="10"/>
        <v>107</v>
      </c>
      <c r="L100" s="111"/>
      <c r="M100" s="112" t="str">
        <f t="shared" si="7"/>
        <v>LH</v>
      </c>
      <c r="N100" s="112"/>
      <c r="O100" s="112"/>
      <c r="P100" s="35">
        <f t="shared" si="8"/>
        <v>0</v>
      </c>
      <c r="R100" s="88"/>
      <c r="S100" s="88"/>
      <c r="T100" s="67"/>
      <c r="V100" s="148"/>
    </row>
    <row r="101" spans="1:22" ht="25.15" customHeight="1" x14ac:dyDescent="0.25">
      <c r="A101" s="32">
        <f t="shared" si="6"/>
        <v>0</v>
      </c>
      <c r="B101" s="109" t="str">
        <f t="shared" si="6"/>
        <v>317453-5832</v>
      </c>
      <c r="C101" s="109"/>
      <c r="D101" s="109"/>
      <c r="E101" s="109"/>
      <c r="F101" s="109"/>
      <c r="G101" s="109"/>
      <c r="H101" s="110">
        <f t="shared" si="9"/>
        <v>2</v>
      </c>
      <c r="I101" s="110"/>
      <c r="J101" s="110"/>
      <c r="K101" s="111">
        <f t="shared" si="10"/>
        <v>156</v>
      </c>
      <c r="L101" s="111"/>
      <c r="M101" s="112" t="str">
        <f t="shared" si="7"/>
        <v>SW</v>
      </c>
      <c r="N101" s="112"/>
      <c r="O101" s="112"/>
      <c r="P101" s="35">
        <f t="shared" si="8"/>
        <v>0</v>
      </c>
      <c r="R101" s="88"/>
      <c r="S101" s="88"/>
      <c r="T101" s="67"/>
      <c r="V101" s="148"/>
    </row>
    <row r="102" spans="1:22" ht="25.15" customHeight="1" x14ac:dyDescent="0.25">
      <c r="A102" s="32">
        <f t="shared" si="6"/>
        <v>0</v>
      </c>
      <c r="B102" s="109" t="str">
        <f t="shared" si="6"/>
        <v>323242-5832</v>
      </c>
      <c r="C102" s="109"/>
      <c r="D102" s="109"/>
      <c r="E102" s="109"/>
      <c r="F102" s="109"/>
      <c r="G102" s="109"/>
      <c r="H102" s="110">
        <f t="shared" si="9"/>
        <v>6</v>
      </c>
      <c r="I102" s="110"/>
      <c r="J102" s="110"/>
      <c r="K102" s="111">
        <f t="shared" si="10"/>
        <v>403</v>
      </c>
      <c r="L102" s="111"/>
      <c r="M102" s="112" t="str">
        <f t="shared" si="7"/>
        <v>SW,LH</v>
      </c>
      <c r="N102" s="112"/>
      <c r="O102" s="112"/>
      <c r="P102" s="35">
        <f t="shared" si="8"/>
        <v>0</v>
      </c>
      <c r="R102" s="88"/>
      <c r="S102" s="88"/>
      <c r="T102" s="67"/>
    </row>
    <row r="103" spans="1:22" ht="25.15" customHeight="1" x14ac:dyDescent="0.25">
      <c r="A103" s="32">
        <f t="shared" si="6"/>
        <v>0</v>
      </c>
      <c r="B103" s="109" t="str">
        <f t="shared" si="6"/>
        <v>325380-5832</v>
      </c>
      <c r="C103" s="109"/>
      <c r="D103" s="109"/>
      <c r="E103" s="109"/>
      <c r="F103" s="109"/>
      <c r="G103" s="109"/>
      <c r="H103" s="110">
        <f t="shared" si="9"/>
        <v>63</v>
      </c>
      <c r="I103" s="110"/>
      <c r="J103" s="110"/>
      <c r="K103" s="111">
        <f t="shared" si="10"/>
        <v>4300</v>
      </c>
      <c r="L103" s="111"/>
      <c r="M103" s="112" t="str">
        <f t="shared" si="7"/>
        <v>PLW067,PLW237,LH</v>
      </c>
      <c r="N103" s="112"/>
      <c r="O103" s="112"/>
      <c r="P103" s="35">
        <f t="shared" si="8"/>
        <v>0</v>
      </c>
      <c r="R103" s="88"/>
      <c r="S103" s="88"/>
      <c r="T103" s="67"/>
    </row>
    <row r="104" spans="1:22" ht="25.15" customHeight="1" x14ac:dyDescent="0.25">
      <c r="A104" s="32">
        <f t="shared" si="6"/>
        <v>0</v>
      </c>
      <c r="B104" s="109" t="str">
        <f t="shared" si="6"/>
        <v>298564-7272</v>
      </c>
      <c r="C104" s="109"/>
      <c r="D104" s="109"/>
      <c r="E104" s="109"/>
      <c r="F104" s="109"/>
      <c r="G104" s="109"/>
      <c r="H104" s="110">
        <f t="shared" si="9"/>
        <v>30</v>
      </c>
      <c r="I104" s="110"/>
      <c r="J104" s="110"/>
      <c r="K104" s="111">
        <f t="shared" si="10"/>
        <v>2210</v>
      </c>
      <c r="L104" s="111"/>
      <c r="M104" s="112" t="str">
        <f t="shared" si="7"/>
        <v>TH,PH</v>
      </c>
      <c r="N104" s="112"/>
      <c r="O104" s="112"/>
      <c r="P104" s="35">
        <f t="shared" si="8"/>
        <v>0</v>
      </c>
      <c r="R104" s="88"/>
      <c r="S104" s="88"/>
      <c r="T104" s="67"/>
    </row>
    <row r="105" spans="1:22" ht="25.15" customHeight="1" x14ac:dyDescent="0.25">
      <c r="A105" s="32">
        <f t="shared" si="6"/>
        <v>0</v>
      </c>
      <c r="B105" s="109" t="str">
        <f t="shared" si="6"/>
        <v>205423-5832</v>
      </c>
      <c r="C105" s="109"/>
      <c r="D105" s="109"/>
      <c r="E105" s="109"/>
      <c r="F105" s="109"/>
      <c r="G105" s="109"/>
      <c r="H105" s="110">
        <f t="shared" si="9"/>
        <v>8</v>
      </c>
      <c r="I105" s="110"/>
      <c r="J105" s="110"/>
      <c r="K105" s="111">
        <f t="shared" si="10"/>
        <v>608</v>
      </c>
      <c r="L105" s="111"/>
      <c r="M105" s="112" t="str">
        <f t="shared" si="7"/>
        <v>PE</v>
      </c>
      <c r="N105" s="112"/>
      <c r="O105" s="112"/>
      <c r="P105" s="35">
        <f t="shared" si="8"/>
        <v>0</v>
      </c>
      <c r="R105" s="88"/>
      <c r="S105" s="88"/>
      <c r="T105" s="67"/>
    </row>
    <row r="106" spans="1:22" ht="25.15" customHeight="1" x14ac:dyDescent="0.25">
      <c r="A106" s="32">
        <f t="shared" si="6"/>
        <v>0</v>
      </c>
      <c r="B106" s="109" t="str">
        <f t="shared" si="6"/>
        <v>290659-5832</v>
      </c>
      <c r="C106" s="109"/>
      <c r="D106" s="109"/>
      <c r="E106" s="109"/>
      <c r="F106" s="109"/>
      <c r="G106" s="109"/>
      <c r="H106" s="110">
        <f t="shared" si="9"/>
        <v>18</v>
      </c>
      <c r="I106" s="110"/>
      <c r="J106" s="110"/>
      <c r="K106" s="111">
        <f t="shared" si="10"/>
        <v>955</v>
      </c>
      <c r="L106" s="111"/>
      <c r="M106" s="112" t="str">
        <f t="shared" si="7"/>
        <v>PH</v>
      </c>
      <c r="N106" s="112"/>
      <c r="O106" s="112"/>
      <c r="P106" s="35">
        <f t="shared" si="8"/>
        <v>0</v>
      </c>
      <c r="R106" s="88"/>
      <c r="S106" s="88"/>
      <c r="T106" s="67"/>
    </row>
    <row r="107" spans="1:22" ht="25.15" customHeight="1" x14ac:dyDescent="0.25">
      <c r="A107" s="32">
        <f t="shared" si="6"/>
        <v>0</v>
      </c>
      <c r="B107" s="109" t="str">
        <f t="shared" si="6"/>
        <v>290658-5832</v>
      </c>
      <c r="C107" s="109"/>
      <c r="D107" s="109"/>
      <c r="E107" s="109"/>
      <c r="F107" s="109"/>
      <c r="G107" s="109"/>
      <c r="H107" s="110">
        <f t="shared" si="9"/>
        <v>5</v>
      </c>
      <c r="I107" s="110"/>
      <c r="J107" s="110"/>
      <c r="K107" s="111">
        <f t="shared" si="10"/>
        <v>198</v>
      </c>
      <c r="L107" s="111"/>
      <c r="M107" s="112" t="str">
        <f t="shared" si="7"/>
        <v>TH</v>
      </c>
      <c r="N107" s="112"/>
      <c r="O107" s="112"/>
      <c r="P107" s="35">
        <f t="shared" si="8"/>
        <v>0</v>
      </c>
      <c r="R107" s="88"/>
      <c r="S107" s="88"/>
      <c r="T107" s="67"/>
    </row>
    <row r="108" spans="1:22" ht="25.15" customHeight="1" x14ac:dyDescent="0.25">
      <c r="A108" s="32">
        <f t="shared" si="6"/>
        <v>0</v>
      </c>
      <c r="B108" s="109" t="str">
        <f t="shared" si="6"/>
        <v>315866-5832</v>
      </c>
      <c r="C108" s="109"/>
      <c r="D108" s="109"/>
      <c r="E108" s="109"/>
      <c r="F108" s="109"/>
      <c r="G108" s="109"/>
      <c r="H108" s="110">
        <f t="shared" si="9"/>
        <v>1</v>
      </c>
      <c r="I108" s="110"/>
      <c r="J108" s="110"/>
      <c r="K108" s="111">
        <f t="shared" si="10"/>
        <v>24</v>
      </c>
      <c r="L108" s="111"/>
      <c r="M108" s="112" t="str">
        <f t="shared" si="7"/>
        <v>SW</v>
      </c>
      <c r="N108" s="112"/>
      <c r="O108" s="112"/>
      <c r="P108" s="35">
        <f t="shared" si="8"/>
        <v>0</v>
      </c>
      <c r="R108" s="88"/>
      <c r="S108" s="88"/>
      <c r="T108" s="67"/>
    </row>
    <row r="109" spans="1:22" ht="25.15" customHeight="1" x14ac:dyDescent="0.25">
      <c r="A109" s="32">
        <f t="shared" si="6"/>
        <v>0</v>
      </c>
      <c r="B109" s="109" t="str">
        <f t="shared" si="6"/>
        <v>309497-5828</v>
      </c>
      <c r="C109" s="109"/>
      <c r="D109" s="109"/>
      <c r="E109" s="109"/>
      <c r="F109" s="109"/>
      <c r="G109" s="109"/>
      <c r="H109" s="110">
        <f t="shared" si="9"/>
        <v>16</v>
      </c>
      <c r="I109" s="110"/>
      <c r="J109" s="110"/>
      <c r="K109" s="111">
        <f t="shared" si="10"/>
        <v>785</v>
      </c>
      <c r="L109" s="111"/>
      <c r="M109" s="112" t="str">
        <f t="shared" si="7"/>
        <v>LH</v>
      </c>
      <c r="N109" s="112"/>
      <c r="O109" s="112"/>
      <c r="P109" s="35">
        <f t="shared" si="8"/>
        <v>0</v>
      </c>
      <c r="R109" s="88"/>
      <c r="S109" s="88"/>
      <c r="T109" s="67"/>
    </row>
    <row r="110" spans="1:22" ht="25.15" customHeight="1" x14ac:dyDescent="0.25">
      <c r="A110" s="32">
        <f t="shared" si="6"/>
        <v>0</v>
      </c>
      <c r="B110" s="109" t="str">
        <f t="shared" si="6"/>
        <v>296311-5832</v>
      </c>
      <c r="C110" s="109"/>
      <c r="D110" s="109"/>
      <c r="E110" s="109"/>
      <c r="F110" s="109"/>
      <c r="G110" s="109"/>
      <c r="H110" s="110">
        <f t="shared" si="9"/>
        <v>37</v>
      </c>
      <c r="I110" s="110"/>
      <c r="J110" s="110"/>
      <c r="K110" s="111">
        <f t="shared" si="10"/>
        <v>2037</v>
      </c>
      <c r="L110" s="111"/>
      <c r="M110" s="112" t="str">
        <f t="shared" si="7"/>
        <v>TH</v>
      </c>
      <c r="N110" s="112"/>
      <c r="O110" s="112"/>
      <c r="P110" s="35">
        <f t="shared" si="8"/>
        <v>0</v>
      </c>
      <c r="R110" s="88"/>
      <c r="S110" s="88"/>
      <c r="T110" s="67"/>
    </row>
    <row r="111" spans="1:22" ht="25.15" customHeight="1" x14ac:dyDescent="0.25">
      <c r="A111" s="32">
        <f t="shared" si="6"/>
        <v>0</v>
      </c>
      <c r="B111" s="109" t="str">
        <f t="shared" si="6"/>
        <v>993118-1347</v>
      </c>
      <c r="C111" s="109"/>
      <c r="D111" s="109"/>
      <c r="E111" s="109"/>
      <c r="F111" s="109"/>
      <c r="G111" s="109"/>
      <c r="H111" s="110">
        <f t="shared" si="9"/>
        <v>21</v>
      </c>
      <c r="I111" s="110"/>
      <c r="J111" s="110"/>
      <c r="K111" s="111">
        <f t="shared" si="10"/>
        <v>574</v>
      </c>
      <c r="L111" s="111"/>
      <c r="M111" s="112" t="str">
        <f t="shared" si="7"/>
        <v>PE</v>
      </c>
      <c r="N111" s="112"/>
      <c r="O111" s="112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09" t="str">
        <f t="shared" si="6"/>
        <v>277743-7952</v>
      </c>
      <c r="C112" s="109"/>
      <c r="D112" s="109"/>
      <c r="E112" s="109"/>
      <c r="F112" s="109"/>
      <c r="G112" s="109"/>
      <c r="H112" s="110">
        <f t="shared" si="9"/>
        <v>4</v>
      </c>
      <c r="I112" s="110"/>
      <c r="J112" s="110"/>
      <c r="K112" s="111">
        <f t="shared" si="10"/>
        <v>197</v>
      </c>
      <c r="L112" s="111"/>
      <c r="M112" s="112" t="str">
        <f t="shared" si="7"/>
        <v>VN</v>
      </c>
      <c r="N112" s="112"/>
      <c r="O112" s="112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09" t="str">
        <f t="shared" si="11"/>
        <v>986995-1643</v>
      </c>
      <c r="C113" s="109"/>
      <c r="D113" s="109"/>
      <c r="E113" s="109"/>
      <c r="F113" s="109"/>
      <c r="G113" s="109"/>
      <c r="H113" s="110">
        <f t="shared" si="9"/>
        <v>14</v>
      </c>
      <c r="I113" s="110"/>
      <c r="J113" s="110"/>
      <c r="K113" s="111">
        <f t="shared" si="10"/>
        <v>506</v>
      </c>
      <c r="L113" s="111"/>
      <c r="M113" s="112" t="str">
        <f t="shared" si="7"/>
        <v>PE</v>
      </c>
      <c r="N113" s="112"/>
      <c r="O113" s="112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09">
        <f t="shared" si="11"/>
        <v>0</v>
      </c>
      <c r="C114" s="109"/>
      <c r="D114" s="109"/>
      <c r="E114" s="109"/>
      <c r="F114" s="109"/>
      <c r="G114" s="109"/>
      <c r="H114" s="110">
        <f t="shared" si="9"/>
        <v>0</v>
      </c>
      <c r="I114" s="110"/>
      <c r="J114" s="110"/>
      <c r="K114" s="111">
        <f t="shared" si="10"/>
        <v>0</v>
      </c>
      <c r="L114" s="111"/>
      <c r="M114" s="112">
        <f t="shared" si="7"/>
        <v>0</v>
      </c>
      <c r="N114" s="112"/>
      <c r="O114" s="112"/>
      <c r="P114" s="35">
        <f t="shared" si="8"/>
        <v>0</v>
      </c>
    </row>
    <row r="115" spans="1:22" ht="21.95" customHeight="1" thickBot="1" x14ac:dyDescent="0.3">
      <c r="A115" s="126" t="s">
        <v>17</v>
      </c>
      <c r="B115" s="127"/>
      <c r="C115" s="127"/>
      <c r="D115" s="127"/>
      <c r="E115" s="127"/>
      <c r="F115" s="127"/>
      <c r="G115" s="116"/>
      <c r="H115" s="128">
        <f>SUM(H95:J114)</f>
        <v>280</v>
      </c>
      <c r="I115" s="129"/>
      <c r="J115" s="130"/>
      <c r="K115" s="131">
        <f>SUM(K95:L114)</f>
        <v>17474</v>
      </c>
      <c r="L115" s="132"/>
      <c r="M115" s="133"/>
      <c r="N115" s="134"/>
      <c r="O115" s="135"/>
      <c r="P115" s="19"/>
    </row>
    <row r="117" spans="1:22" ht="31.9" customHeight="1" x14ac:dyDescent="0.25">
      <c r="A117" s="137" t="s">
        <v>22</v>
      </c>
      <c r="B117" s="138"/>
      <c r="C117" s="138"/>
      <c r="D117" s="139" t="str">
        <f>D77</f>
        <v>MD.JAKIR</v>
      </c>
      <c r="E117" s="139"/>
      <c r="F117" s="139"/>
      <c r="G117" s="138" t="s">
        <v>23</v>
      </c>
      <c r="H117" s="138"/>
      <c r="I117" s="138"/>
      <c r="J117" s="138"/>
      <c r="K117" s="138"/>
      <c r="L117" s="138"/>
      <c r="M117" s="140" t="str">
        <f>M77</f>
        <v>01744-114979</v>
      </c>
      <c r="N117" s="140"/>
      <c r="O117" s="140"/>
      <c r="P117" s="141"/>
    </row>
    <row r="118" spans="1:22" ht="31.9" customHeight="1" x14ac:dyDescent="0.25">
      <c r="A118" s="142" t="s">
        <v>24</v>
      </c>
      <c r="B118" s="143"/>
      <c r="C118" s="143"/>
      <c r="D118" s="144" t="str">
        <f>D78</f>
        <v>P046</v>
      </c>
      <c r="E118" s="144"/>
      <c r="F118" s="144"/>
      <c r="G118" s="143" t="s">
        <v>25</v>
      </c>
      <c r="H118" s="143"/>
      <c r="I118" s="143"/>
      <c r="J118" s="143"/>
      <c r="K118" s="143"/>
      <c r="L118" s="143"/>
      <c r="M118" s="145" t="str">
        <f>M78</f>
        <v>DM-TA 11-8150</v>
      </c>
      <c r="N118" s="145"/>
      <c r="O118" s="145"/>
      <c r="P118" s="146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36" t="s">
        <v>18</v>
      </c>
      <c r="B120" s="136"/>
      <c r="C120" s="136"/>
      <c r="D120" s="4"/>
      <c r="E120" s="4"/>
      <c r="F120" s="136" t="s">
        <v>19</v>
      </c>
      <c r="G120" s="136"/>
      <c r="H120" s="36"/>
      <c r="I120" s="36"/>
      <c r="J120" s="36"/>
      <c r="K120" s="4"/>
      <c r="L120" s="136" t="s">
        <v>20</v>
      </c>
      <c r="M120" s="136"/>
      <c r="N120" s="136"/>
      <c r="O120" s="136"/>
      <c r="P120" s="136"/>
    </row>
    <row r="121" spans="1:22" ht="8.25" customHeight="1" x14ac:dyDescent="0.25"/>
    <row r="122" spans="1:22" ht="36.75" customHeight="1" x14ac:dyDescent="0.25">
      <c r="A122" s="37"/>
      <c r="B122" s="37"/>
      <c r="C122" s="37"/>
      <c r="D122" s="38" t="s">
        <v>27</v>
      </c>
      <c r="E122" s="38"/>
      <c r="F122" s="38"/>
      <c r="G122" s="38"/>
      <c r="H122" s="38"/>
      <c r="I122" s="38"/>
      <c r="J122" s="38"/>
      <c r="K122" s="38"/>
      <c r="L122" s="38"/>
      <c r="M122" s="39" t="str">
        <f>M82</f>
        <v>FORM STR 03
REVISION NO 01</v>
      </c>
      <c r="N122" s="39"/>
      <c r="O122" s="39"/>
      <c r="P122" s="39"/>
      <c r="Q122" s="10"/>
    </row>
    <row r="123" spans="1:22" ht="22.15" customHeight="1" x14ac:dyDescent="0.25">
      <c r="A123" s="37"/>
      <c r="B123" s="37"/>
      <c r="C123" s="37"/>
      <c r="D123" s="38"/>
      <c r="E123" s="38"/>
      <c r="F123" s="38"/>
      <c r="G123" s="38"/>
      <c r="H123" s="38"/>
      <c r="I123" s="38"/>
      <c r="J123" s="38"/>
      <c r="K123" s="38"/>
      <c r="L123" s="38"/>
      <c r="M123" s="39"/>
      <c r="N123" s="39"/>
      <c r="O123" s="39"/>
      <c r="P123" s="39"/>
      <c r="Q123" s="10"/>
    </row>
    <row r="124" spans="1:22" ht="17.45" customHeight="1" x14ac:dyDescent="0.25">
      <c r="A124" s="40"/>
      <c r="B124" s="40"/>
      <c r="C124" s="40"/>
      <c r="D124" s="41" t="s">
        <v>21</v>
      </c>
      <c r="E124" s="41"/>
      <c r="F124" s="41"/>
      <c r="G124" s="41"/>
      <c r="H124" s="41"/>
      <c r="I124" s="41"/>
      <c r="J124" s="41"/>
      <c r="K124" s="41"/>
      <c r="L124" s="41"/>
      <c r="M124" s="11"/>
    </row>
    <row r="125" spans="1:22" ht="22.15" customHeight="1" thickBot="1" x14ac:dyDescent="0.35">
      <c r="A125" s="42"/>
      <c r="B125" s="42"/>
      <c r="C125" s="1"/>
      <c r="D125" s="43" t="s">
        <v>92</v>
      </c>
      <c r="E125" s="43"/>
      <c r="F125" s="43"/>
      <c r="G125" s="43"/>
      <c r="H125" s="43"/>
      <c r="I125" s="43"/>
      <c r="J125" s="43"/>
      <c r="K125" s="43"/>
      <c r="L125" s="43"/>
      <c r="M125" s="2"/>
      <c r="N125" s="37"/>
      <c r="O125" s="37"/>
      <c r="P125" s="37"/>
    </row>
    <row r="126" spans="1:22" ht="15.6" customHeight="1" thickBot="1" x14ac:dyDescent="0.35">
      <c r="A126" s="71" t="s">
        <v>9</v>
      </c>
      <c r="B126" s="72"/>
      <c r="C126" s="73" t="str">
        <f>C86</f>
        <v>O539</v>
      </c>
      <c r="D126" s="73"/>
      <c r="E126" s="73"/>
      <c r="F126" s="74"/>
      <c r="G126" s="2"/>
      <c r="H126" s="75" t="s">
        <v>4</v>
      </c>
      <c r="I126" s="76"/>
      <c r="J126" s="76"/>
      <c r="K126" s="8" t="s">
        <v>7</v>
      </c>
      <c r="L126" s="77" t="str">
        <f>L86</f>
        <v>JP 523797</v>
      </c>
      <c r="M126" s="77"/>
      <c r="N126" s="77"/>
      <c r="O126" s="77"/>
      <c r="P126" s="78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52" t="s">
        <v>5</v>
      </c>
      <c r="I127" s="53"/>
      <c r="J127" s="53"/>
      <c r="K127" s="9" t="s">
        <v>7</v>
      </c>
      <c r="L127" s="79">
        <f ca="1">L87</f>
        <v>45689.589567129631</v>
      </c>
      <c r="M127" s="79"/>
      <c r="N127" s="79"/>
      <c r="O127" s="79"/>
      <c r="P127" s="80"/>
      <c r="R127" s="88"/>
      <c r="S127" s="88"/>
      <c r="T127" s="147"/>
      <c r="U127" s="26"/>
      <c r="V127" s="147"/>
    </row>
    <row r="128" spans="1:22" ht="18" customHeight="1" x14ac:dyDescent="0.3">
      <c r="A128" s="46" t="str">
        <f>A88</f>
        <v>Summit Alliance Port Ltd. (SAPL).
Katghar, South Patenga, Chattogram.</v>
      </c>
      <c r="B128" s="47"/>
      <c r="C128" s="47"/>
      <c r="D128" s="47"/>
      <c r="E128" s="47"/>
      <c r="F128" s="48"/>
      <c r="G128" s="2"/>
      <c r="H128" s="52" t="s">
        <v>8</v>
      </c>
      <c r="I128" s="53"/>
      <c r="J128" s="53"/>
      <c r="K128" s="9" t="s">
        <v>7</v>
      </c>
      <c r="L128" s="54" t="str">
        <f>L88</f>
        <v>SEA</v>
      </c>
      <c r="M128" s="54"/>
      <c r="N128" s="54"/>
      <c r="O128" s="54"/>
      <c r="P128" s="55"/>
      <c r="R128" s="88"/>
      <c r="S128" s="88"/>
      <c r="T128" s="148"/>
      <c r="U128" s="26"/>
      <c r="V128" s="148"/>
    </row>
    <row r="129" spans="1:22" ht="17.25" x14ac:dyDescent="0.3">
      <c r="A129" s="46"/>
      <c r="B129" s="47"/>
      <c r="C129" s="47"/>
      <c r="D129" s="47"/>
      <c r="E129" s="47"/>
      <c r="F129" s="48"/>
      <c r="G129" s="2"/>
      <c r="H129" s="56" t="s">
        <v>6</v>
      </c>
      <c r="I129" s="57"/>
      <c r="J129" s="57"/>
      <c r="K129" s="62" t="s">
        <v>7</v>
      </c>
      <c r="L129" s="65" t="str">
        <f>L89</f>
        <v>M/S. Kabir &amp; Co.
1104DT Road West Madarbari,
Chattogram, Bangladesh.</v>
      </c>
      <c r="M129" s="65"/>
      <c r="N129" s="65"/>
      <c r="O129" s="65"/>
      <c r="P129" s="66"/>
      <c r="R129" s="88"/>
      <c r="S129" s="88"/>
      <c r="T129" s="148"/>
      <c r="U129" s="26"/>
      <c r="V129" s="148"/>
    </row>
    <row r="130" spans="1:22" ht="18" thickBot="1" x14ac:dyDescent="0.35">
      <c r="A130" s="49"/>
      <c r="B130" s="50"/>
      <c r="C130" s="50"/>
      <c r="D130" s="50"/>
      <c r="E130" s="50"/>
      <c r="F130" s="51"/>
      <c r="G130" s="2"/>
      <c r="H130" s="58"/>
      <c r="I130" s="59"/>
      <c r="J130" s="59"/>
      <c r="K130" s="63"/>
      <c r="L130" s="67"/>
      <c r="M130" s="67"/>
      <c r="N130" s="67"/>
      <c r="O130" s="67"/>
      <c r="P130" s="68"/>
      <c r="R130" s="88"/>
      <c r="S130" s="88"/>
      <c r="T130" s="147"/>
      <c r="U130" s="26"/>
      <c r="V130" s="147"/>
    </row>
    <row r="131" spans="1:22" ht="18" customHeight="1" thickBot="1" x14ac:dyDescent="0.35">
      <c r="A131" s="42"/>
      <c r="B131" s="42"/>
      <c r="C131" s="1"/>
      <c r="D131" s="2"/>
      <c r="E131" s="2"/>
      <c r="F131" s="2"/>
      <c r="G131" s="2"/>
      <c r="H131" s="60"/>
      <c r="I131" s="61"/>
      <c r="J131" s="61"/>
      <c r="K131" s="64"/>
      <c r="L131" s="69"/>
      <c r="M131" s="69"/>
      <c r="N131" s="69"/>
      <c r="O131" s="69"/>
      <c r="P131" s="70"/>
      <c r="R131" s="88"/>
      <c r="S131" s="88"/>
      <c r="T131" s="147"/>
      <c r="U131" s="26"/>
      <c r="V131" s="148"/>
    </row>
    <row r="132" spans="1:22" ht="16.149999999999999" customHeight="1" x14ac:dyDescent="0.25">
      <c r="A132" s="103" t="s">
        <v>12</v>
      </c>
      <c r="B132" s="104"/>
      <c r="C132" s="105" t="s">
        <v>0</v>
      </c>
      <c r="D132" s="105"/>
      <c r="E132" s="105"/>
      <c r="F132" s="105"/>
      <c r="G132" s="105"/>
      <c r="H132" s="81" t="s">
        <v>1</v>
      </c>
      <c r="I132" s="82"/>
      <c r="J132" s="82"/>
      <c r="K132" s="82"/>
      <c r="L132" s="83"/>
      <c r="M132" s="84" t="s">
        <v>16</v>
      </c>
      <c r="N132" s="85"/>
      <c r="O132" s="86"/>
      <c r="P132" s="149" t="s">
        <v>3</v>
      </c>
      <c r="R132" s="88"/>
      <c r="S132" s="88"/>
      <c r="T132" s="147"/>
      <c r="U132" s="26"/>
      <c r="V132" s="148"/>
    </row>
    <row r="133" spans="1:22" ht="16.149999999999999" customHeight="1" x14ac:dyDescent="0.25">
      <c r="A133" s="3" t="s">
        <v>13</v>
      </c>
      <c r="B133" s="33">
        <f>B93</f>
        <v>1</v>
      </c>
      <c r="C133" s="96" t="str">
        <f>C93</f>
        <v>Delivery of Readymade Garments</v>
      </c>
      <c r="D133" s="96"/>
      <c r="E133" s="96"/>
      <c r="F133" s="96"/>
      <c r="G133" s="96"/>
      <c r="H133" s="165" t="s">
        <v>2</v>
      </c>
      <c r="I133" s="166"/>
      <c r="J133" s="167"/>
      <c r="K133" s="165" t="s">
        <v>15</v>
      </c>
      <c r="L133" s="167"/>
      <c r="M133" s="87"/>
      <c r="N133" s="88"/>
      <c r="O133" s="89"/>
      <c r="P133" s="150"/>
      <c r="R133" s="88"/>
      <c r="S133" s="88"/>
      <c r="T133" s="147"/>
      <c r="V133" s="147"/>
    </row>
    <row r="134" spans="1:22" ht="16.149999999999999" customHeight="1" thickBot="1" x14ac:dyDescent="0.3">
      <c r="A134" s="113" t="s">
        <v>11</v>
      </c>
      <c r="B134" s="114"/>
      <c r="C134" s="115" t="str">
        <f>C94</f>
        <v>H &amp; M</v>
      </c>
      <c r="D134" s="116"/>
      <c r="E134" s="117" t="s">
        <v>88</v>
      </c>
      <c r="F134" s="118"/>
      <c r="G134" s="114"/>
      <c r="H134" s="100"/>
      <c r="I134" s="101"/>
      <c r="J134" s="102"/>
      <c r="K134" s="100"/>
      <c r="L134" s="102"/>
      <c r="M134" s="90"/>
      <c r="N134" s="91"/>
      <c r="O134" s="92"/>
      <c r="P134" s="151"/>
      <c r="R134" s="88"/>
      <c r="S134" s="88"/>
      <c r="T134" s="147"/>
      <c r="V134" s="148"/>
    </row>
    <row r="135" spans="1:22" ht="25.15" customHeight="1" x14ac:dyDescent="0.25">
      <c r="A135" s="31">
        <f>A95</f>
        <v>0</v>
      </c>
      <c r="B135" s="119" t="str">
        <f>B95</f>
        <v>324425-5832</v>
      </c>
      <c r="C135" s="119"/>
      <c r="D135" s="119"/>
      <c r="E135" s="119"/>
      <c r="F135" s="119"/>
      <c r="G135" s="119"/>
      <c r="H135" s="160">
        <f>H95</f>
        <v>2</v>
      </c>
      <c r="I135" s="161"/>
      <c r="J135" s="162"/>
      <c r="K135" s="163">
        <f>K95</f>
        <v>123</v>
      </c>
      <c r="L135" s="164"/>
      <c r="M135" s="106" t="str">
        <f>M95</f>
        <v>PL</v>
      </c>
      <c r="N135" s="107"/>
      <c r="O135" s="108"/>
      <c r="P135" s="34">
        <f>P95</f>
        <v>0</v>
      </c>
      <c r="R135" s="88"/>
      <c r="S135" s="88"/>
      <c r="T135" s="147"/>
      <c r="V135" s="148"/>
    </row>
    <row r="136" spans="1:22" ht="25.15" customHeight="1" x14ac:dyDescent="0.25">
      <c r="A136" s="32">
        <f>A96</f>
        <v>0</v>
      </c>
      <c r="B136" s="109" t="str">
        <f>B96</f>
        <v>285475-5832</v>
      </c>
      <c r="C136" s="109"/>
      <c r="D136" s="109"/>
      <c r="E136" s="109"/>
      <c r="F136" s="109"/>
      <c r="G136" s="109"/>
      <c r="H136" s="152">
        <f>H96</f>
        <v>5</v>
      </c>
      <c r="I136" s="153"/>
      <c r="J136" s="154"/>
      <c r="K136" s="155">
        <f>K96</f>
        <v>234</v>
      </c>
      <c r="L136" s="156"/>
      <c r="M136" s="157" t="str">
        <f>M96</f>
        <v>TH</v>
      </c>
      <c r="N136" s="158"/>
      <c r="O136" s="159"/>
      <c r="P136" s="35">
        <f>P96</f>
        <v>0</v>
      </c>
      <c r="R136" s="88"/>
      <c r="S136" s="88"/>
      <c r="T136" s="67"/>
      <c r="V136" s="147"/>
    </row>
    <row r="137" spans="1:22" ht="25.15" customHeight="1" x14ac:dyDescent="0.25">
      <c r="A137" s="32">
        <f t="shared" ref="A137:B152" si="12">A97</f>
        <v>0</v>
      </c>
      <c r="B137" s="109" t="str">
        <f t="shared" si="12"/>
        <v>324414-5832</v>
      </c>
      <c r="C137" s="109"/>
      <c r="D137" s="109"/>
      <c r="E137" s="109"/>
      <c r="F137" s="109"/>
      <c r="G137" s="109"/>
      <c r="H137" s="152">
        <f>H97</f>
        <v>1</v>
      </c>
      <c r="I137" s="153"/>
      <c r="J137" s="154"/>
      <c r="K137" s="155">
        <f>K97</f>
        <v>39</v>
      </c>
      <c r="L137" s="156"/>
      <c r="M137" s="157" t="str">
        <f t="shared" ref="M137:M154" si="13">M97</f>
        <v>OL</v>
      </c>
      <c r="N137" s="158"/>
      <c r="O137" s="159"/>
      <c r="P137" s="35">
        <f t="shared" ref="P137:P154" si="14">P97</f>
        <v>0</v>
      </c>
      <c r="R137" s="88"/>
      <c r="S137" s="88"/>
      <c r="T137" s="67"/>
      <c r="V137" s="148"/>
    </row>
    <row r="138" spans="1:22" ht="25.15" customHeight="1" x14ac:dyDescent="0.25">
      <c r="A138" s="32">
        <f t="shared" si="12"/>
        <v>0</v>
      </c>
      <c r="B138" s="109" t="str">
        <f t="shared" si="12"/>
        <v>201400-5828</v>
      </c>
      <c r="C138" s="109"/>
      <c r="D138" s="109"/>
      <c r="E138" s="109"/>
      <c r="F138" s="109"/>
      <c r="G138" s="109"/>
      <c r="H138" s="152">
        <f t="shared" ref="H138:H154" si="15">H98</f>
        <v>45</v>
      </c>
      <c r="I138" s="153"/>
      <c r="J138" s="154"/>
      <c r="K138" s="155">
        <f t="shared" ref="K138:K154" si="16">K98</f>
        <v>3971</v>
      </c>
      <c r="L138" s="156"/>
      <c r="M138" s="157" t="str">
        <f t="shared" si="13"/>
        <v>PE</v>
      </c>
      <c r="N138" s="158"/>
      <c r="O138" s="159"/>
      <c r="P138" s="35">
        <f t="shared" si="14"/>
        <v>0</v>
      </c>
      <c r="R138" s="88"/>
      <c r="S138" s="88"/>
      <c r="T138" s="67"/>
      <c r="V138" s="148"/>
    </row>
    <row r="139" spans="1:22" ht="25.15" customHeight="1" x14ac:dyDescent="0.25">
      <c r="A139" s="32">
        <f t="shared" si="12"/>
        <v>0</v>
      </c>
      <c r="B139" s="109" t="str">
        <f t="shared" si="12"/>
        <v>273732-5828</v>
      </c>
      <c r="C139" s="109"/>
      <c r="D139" s="109"/>
      <c r="E139" s="109"/>
      <c r="F139" s="109"/>
      <c r="G139" s="109"/>
      <c r="H139" s="152">
        <f t="shared" si="15"/>
        <v>1</v>
      </c>
      <c r="I139" s="153"/>
      <c r="J139" s="154"/>
      <c r="K139" s="155">
        <f t="shared" si="16"/>
        <v>47</v>
      </c>
      <c r="L139" s="156"/>
      <c r="M139" s="157" t="str">
        <f t="shared" si="13"/>
        <v>VN</v>
      </c>
      <c r="N139" s="158"/>
      <c r="O139" s="159"/>
      <c r="P139" s="35">
        <f t="shared" si="14"/>
        <v>0</v>
      </c>
      <c r="R139" s="88"/>
      <c r="S139" s="88"/>
      <c r="T139" s="67"/>
      <c r="V139" s="147"/>
    </row>
    <row r="140" spans="1:22" ht="25.15" customHeight="1" x14ac:dyDescent="0.25">
      <c r="A140" s="32">
        <f t="shared" si="12"/>
        <v>0</v>
      </c>
      <c r="B140" s="109" t="str">
        <f t="shared" si="12"/>
        <v>315863-5832</v>
      </c>
      <c r="C140" s="109"/>
      <c r="D140" s="109"/>
      <c r="E140" s="109"/>
      <c r="F140" s="109"/>
      <c r="G140" s="109"/>
      <c r="H140" s="152">
        <f t="shared" si="15"/>
        <v>1</v>
      </c>
      <c r="I140" s="153"/>
      <c r="J140" s="154"/>
      <c r="K140" s="155">
        <f t="shared" si="16"/>
        <v>107</v>
      </c>
      <c r="L140" s="156"/>
      <c r="M140" s="157" t="str">
        <f t="shared" si="13"/>
        <v>LH</v>
      </c>
      <c r="N140" s="158"/>
      <c r="O140" s="159"/>
      <c r="P140" s="35">
        <f t="shared" si="14"/>
        <v>0</v>
      </c>
      <c r="R140" s="88"/>
      <c r="S140" s="88"/>
      <c r="T140" s="67"/>
      <c r="V140" s="148"/>
    </row>
    <row r="141" spans="1:22" ht="25.15" customHeight="1" x14ac:dyDescent="0.25">
      <c r="A141" s="32">
        <f t="shared" si="12"/>
        <v>0</v>
      </c>
      <c r="B141" s="109" t="str">
        <f t="shared" si="12"/>
        <v>317453-5832</v>
      </c>
      <c r="C141" s="109"/>
      <c r="D141" s="109"/>
      <c r="E141" s="109"/>
      <c r="F141" s="109"/>
      <c r="G141" s="109"/>
      <c r="H141" s="152">
        <f t="shared" si="15"/>
        <v>2</v>
      </c>
      <c r="I141" s="153"/>
      <c r="J141" s="154"/>
      <c r="K141" s="155">
        <f t="shared" si="16"/>
        <v>156</v>
      </c>
      <c r="L141" s="156"/>
      <c r="M141" s="157" t="str">
        <f t="shared" si="13"/>
        <v>SW</v>
      </c>
      <c r="N141" s="158"/>
      <c r="O141" s="159"/>
      <c r="P141" s="35">
        <f t="shared" si="14"/>
        <v>0</v>
      </c>
      <c r="R141" s="88"/>
      <c r="S141" s="88"/>
      <c r="T141" s="67"/>
      <c r="V141" s="148"/>
    </row>
    <row r="142" spans="1:22" ht="25.15" customHeight="1" x14ac:dyDescent="0.25">
      <c r="A142" s="32">
        <f t="shared" si="12"/>
        <v>0</v>
      </c>
      <c r="B142" s="109" t="str">
        <f t="shared" si="12"/>
        <v>323242-5832</v>
      </c>
      <c r="C142" s="109"/>
      <c r="D142" s="109"/>
      <c r="E142" s="109"/>
      <c r="F142" s="109"/>
      <c r="G142" s="109"/>
      <c r="H142" s="152">
        <f t="shared" si="15"/>
        <v>6</v>
      </c>
      <c r="I142" s="153"/>
      <c r="J142" s="154"/>
      <c r="K142" s="155">
        <f t="shared" si="16"/>
        <v>403</v>
      </c>
      <c r="L142" s="156"/>
      <c r="M142" s="157" t="str">
        <f t="shared" si="13"/>
        <v>SW,LH</v>
      </c>
      <c r="N142" s="158"/>
      <c r="O142" s="159"/>
      <c r="P142" s="35">
        <f t="shared" si="14"/>
        <v>0</v>
      </c>
      <c r="R142" s="88"/>
      <c r="S142" s="88"/>
      <c r="T142" s="67"/>
    </row>
    <row r="143" spans="1:22" ht="25.15" customHeight="1" x14ac:dyDescent="0.25">
      <c r="A143" s="32">
        <f t="shared" si="12"/>
        <v>0</v>
      </c>
      <c r="B143" s="109" t="str">
        <f t="shared" si="12"/>
        <v>325380-5832</v>
      </c>
      <c r="C143" s="109"/>
      <c r="D143" s="109"/>
      <c r="E143" s="109"/>
      <c r="F143" s="109"/>
      <c r="G143" s="109"/>
      <c r="H143" s="152">
        <f t="shared" si="15"/>
        <v>63</v>
      </c>
      <c r="I143" s="153"/>
      <c r="J143" s="154"/>
      <c r="K143" s="155">
        <f t="shared" si="16"/>
        <v>4300</v>
      </c>
      <c r="L143" s="156"/>
      <c r="M143" s="157" t="str">
        <f t="shared" si="13"/>
        <v>PLW067,PLW237,LH</v>
      </c>
      <c r="N143" s="158"/>
      <c r="O143" s="159"/>
      <c r="P143" s="35">
        <f t="shared" si="14"/>
        <v>0</v>
      </c>
      <c r="R143" s="88"/>
      <c r="S143" s="88"/>
      <c r="T143" s="67"/>
    </row>
    <row r="144" spans="1:22" ht="25.15" customHeight="1" x14ac:dyDescent="0.25">
      <c r="A144" s="32">
        <f t="shared" si="12"/>
        <v>0</v>
      </c>
      <c r="B144" s="109" t="str">
        <f t="shared" si="12"/>
        <v>298564-7272</v>
      </c>
      <c r="C144" s="109"/>
      <c r="D144" s="109"/>
      <c r="E144" s="109"/>
      <c r="F144" s="109"/>
      <c r="G144" s="109"/>
      <c r="H144" s="152">
        <f t="shared" si="15"/>
        <v>30</v>
      </c>
      <c r="I144" s="153"/>
      <c r="J144" s="154"/>
      <c r="K144" s="155">
        <f t="shared" si="16"/>
        <v>2210</v>
      </c>
      <c r="L144" s="156"/>
      <c r="M144" s="157" t="str">
        <f t="shared" si="13"/>
        <v>TH,PH</v>
      </c>
      <c r="N144" s="158"/>
      <c r="O144" s="159"/>
      <c r="P144" s="35">
        <f t="shared" si="14"/>
        <v>0</v>
      </c>
      <c r="R144" s="88"/>
      <c r="S144" s="88"/>
      <c r="T144" s="67"/>
    </row>
    <row r="145" spans="1:20" ht="25.15" customHeight="1" x14ac:dyDescent="0.25">
      <c r="A145" s="32">
        <f t="shared" si="12"/>
        <v>0</v>
      </c>
      <c r="B145" s="109" t="str">
        <f t="shared" si="12"/>
        <v>205423-5832</v>
      </c>
      <c r="C145" s="109"/>
      <c r="D145" s="109"/>
      <c r="E145" s="109"/>
      <c r="F145" s="109"/>
      <c r="G145" s="109"/>
      <c r="H145" s="152">
        <f t="shared" si="15"/>
        <v>8</v>
      </c>
      <c r="I145" s="153"/>
      <c r="J145" s="154"/>
      <c r="K145" s="155">
        <f t="shared" si="16"/>
        <v>608</v>
      </c>
      <c r="L145" s="156"/>
      <c r="M145" s="157" t="str">
        <f t="shared" si="13"/>
        <v>PE</v>
      </c>
      <c r="N145" s="158"/>
      <c r="O145" s="159"/>
      <c r="P145" s="35">
        <f t="shared" si="14"/>
        <v>0</v>
      </c>
      <c r="R145" s="88"/>
      <c r="S145" s="88"/>
      <c r="T145" s="67"/>
    </row>
    <row r="146" spans="1:20" ht="25.15" customHeight="1" x14ac:dyDescent="0.25">
      <c r="A146" s="32">
        <f t="shared" si="12"/>
        <v>0</v>
      </c>
      <c r="B146" s="109" t="str">
        <f t="shared" si="12"/>
        <v>290659-5832</v>
      </c>
      <c r="C146" s="109"/>
      <c r="D146" s="109"/>
      <c r="E146" s="109"/>
      <c r="F146" s="109"/>
      <c r="G146" s="109"/>
      <c r="H146" s="152">
        <f t="shared" si="15"/>
        <v>18</v>
      </c>
      <c r="I146" s="153"/>
      <c r="J146" s="154"/>
      <c r="K146" s="155">
        <f t="shared" si="16"/>
        <v>955</v>
      </c>
      <c r="L146" s="156"/>
      <c r="M146" s="157" t="str">
        <f t="shared" si="13"/>
        <v>PH</v>
      </c>
      <c r="N146" s="158"/>
      <c r="O146" s="159"/>
      <c r="P146" s="35">
        <f t="shared" si="14"/>
        <v>0</v>
      </c>
      <c r="R146" s="88"/>
      <c r="S146" s="88"/>
      <c r="T146" s="67"/>
    </row>
    <row r="147" spans="1:20" ht="25.15" customHeight="1" x14ac:dyDescent="0.25">
      <c r="A147" s="32">
        <f t="shared" si="12"/>
        <v>0</v>
      </c>
      <c r="B147" s="109" t="str">
        <f t="shared" si="12"/>
        <v>290658-5832</v>
      </c>
      <c r="C147" s="109"/>
      <c r="D147" s="109"/>
      <c r="E147" s="109"/>
      <c r="F147" s="109"/>
      <c r="G147" s="109"/>
      <c r="H147" s="152">
        <f t="shared" si="15"/>
        <v>5</v>
      </c>
      <c r="I147" s="153"/>
      <c r="J147" s="154"/>
      <c r="K147" s="155">
        <f t="shared" si="16"/>
        <v>198</v>
      </c>
      <c r="L147" s="156"/>
      <c r="M147" s="157" t="str">
        <f t="shared" si="13"/>
        <v>TH</v>
      </c>
      <c r="N147" s="158"/>
      <c r="O147" s="159"/>
      <c r="P147" s="35">
        <f t="shared" si="14"/>
        <v>0</v>
      </c>
      <c r="R147" s="88"/>
      <c r="S147" s="88"/>
      <c r="T147" s="67"/>
    </row>
    <row r="148" spans="1:20" ht="25.15" customHeight="1" x14ac:dyDescent="0.25">
      <c r="A148" s="32">
        <f t="shared" si="12"/>
        <v>0</v>
      </c>
      <c r="B148" s="109" t="str">
        <f t="shared" si="12"/>
        <v>315866-5832</v>
      </c>
      <c r="C148" s="109"/>
      <c r="D148" s="109"/>
      <c r="E148" s="109"/>
      <c r="F148" s="109"/>
      <c r="G148" s="109"/>
      <c r="H148" s="152">
        <f t="shared" si="15"/>
        <v>1</v>
      </c>
      <c r="I148" s="153"/>
      <c r="J148" s="154"/>
      <c r="K148" s="155">
        <f t="shared" si="16"/>
        <v>24</v>
      </c>
      <c r="L148" s="156"/>
      <c r="M148" s="157" t="str">
        <f t="shared" si="13"/>
        <v>SW</v>
      </c>
      <c r="N148" s="158"/>
      <c r="O148" s="159"/>
      <c r="P148" s="35">
        <f t="shared" si="14"/>
        <v>0</v>
      </c>
      <c r="R148" s="88"/>
      <c r="S148" s="88"/>
      <c r="T148" s="67"/>
    </row>
    <row r="149" spans="1:20" ht="25.15" customHeight="1" x14ac:dyDescent="0.25">
      <c r="A149" s="32">
        <f t="shared" si="12"/>
        <v>0</v>
      </c>
      <c r="B149" s="109" t="str">
        <f t="shared" si="12"/>
        <v>309497-5828</v>
      </c>
      <c r="C149" s="109"/>
      <c r="D149" s="109"/>
      <c r="E149" s="109"/>
      <c r="F149" s="109"/>
      <c r="G149" s="109"/>
      <c r="H149" s="152">
        <f t="shared" si="15"/>
        <v>16</v>
      </c>
      <c r="I149" s="153"/>
      <c r="J149" s="154"/>
      <c r="K149" s="155">
        <f t="shared" si="16"/>
        <v>785</v>
      </c>
      <c r="L149" s="156"/>
      <c r="M149" s="157" t="str">
        <f t="shared" si="13"/>
        <v>LH</v>
      </c>
      <c r="N149" s="158"/>
      <c r="O149" s="159"/>
      <c r="P149" s="35">
        <f t="shared" si="14"/>
        <v>0</v>
      </c>
      <c r="R149" s="88"/>
      <c r="S149" s="88"/>
      <c r="T149" s="67"/>
    </row>
    <row r="150" spans="1:20" ht="25.15" customHeight="1" x14ac:dyDescent="0.25">
      <c r="A150" s="32">
        <f t="shared" si="12"/>
        <v>0</v>
      </c>
      <c r="B150" s="109" t="str">
        <f t="shared" si="12"/>
        <v>296311-5832</v>
      </c>
      <c r="C150" s="109"/>
      <c r="D150" s="109"/>
      <c r="E150" s="109"/>
      <c r="F150" s="109"/>
      <c r="G150" s="109"/>
      <c r="H150" s="152">
        <f t="shared" si="15"/>
        <v>37</v>
      </c>
      <c r="I150" s="153"/>
      <c r="J150" s="154"/>
      <c r="K150" s="155">
        <f t="shared" si="16"/>
        <v>2037</v>
      </c>
      <c r="L150" s="156"/>
      <c r="M150" s="157" t="str">
        <f t="shared" si="13"/>
        <v>TH</v>
      </c>
      <c r="N150" s="158"/>
      <c r="O150" s="159"/>
      <c r="P150" s="35">
        <f t="shared" si="14"/>
        <v>0</v>
      </c>
      <c r="R150" s="88"/>
      <c r="S150" s="88"/>
      <c r="T150" s="67"/>
    </row>
    <row r="151" spans="1:20" ht="25.15" customHeight="1" x14ac:dyDescent="0.25">
      <c r="A151" s="32">
        <f t="shared" si="12"/>
        <v>0</v>
      </c>
      <c r="B151" s="109" t="str">
        <f t="shared" si="12"/>
        <v>993118-1347</v>
      </c>
      <c r="C151" s="109"/>
      <c r="D151" s="109"/>
      <c r="E151" s="109"/>
      <c r="F151" s="109"/>
      <c r="G151" s="109"/>
      <c r="H151" s="152">
        <f t="shared" si="15"/>
        <v>21</v>
      </c>
      <c r="I151" s="153"/>
      <c r="J151" s="154"/>
      <c r="K151" s="155">
        <f t="shared" si="16"/>
        <v>574</v>
      </c>
      <c r="L151" s="156"/>
      <c r="M151" s="157" t="str">
        <f t="shared" si="13"/>
        <v>PE</v>
      </c>
      <c r="N151" s="158"/>
      <c r="O151" s="159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09" t="str">
        <f t="shared" si="12"/>
        <v>277743-7952</v>
      </c>
      <c r="C152" s="109"/>
      <c r="D152" s="109"/>
      <c r="E152" s="109"/>
      <c r="F152" s="109"/>
      <c r="G152" s="109"/>
      <c r="H152" s="152">
        <f t="shared" si="15"/>
        <v>4</v>
      </c>
      <c r="I152" s="153"/>
      <c r="J152" s="154"/>
      <c r="K152" s="155">
        <f t="shared" si="16"/>
        <v>197</v>
      </c>
      <c r="L152" s="156"/>
      <c r="M152" s="157" t="str">
        <f t="shared" si="13"/>
        <v>VN</v>
      </c>
      <c r="N152" s="158"/>
      <c r="O152" s="159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09" t="str">
        <f t="shared" si="17"/>
        <v>986995-1643</v>
      </c>
      <c r="C153" s="109"/>
      <c r="D153" s="109"/>
      <c r="E153" s="109"/>
      <c r="F153" s="109"/>
      <c r="G153" s="109"/>
      <c r="H153" s="152">
        <f t="shared" si="15"/>
        <v>14</v>
      </c>
      <c r="I153" s="153"/>
      <c r="J153" s="154"/>
      <c r="K153" s="155">
        <f t="shared" si="16"/>
        <v>506</v>
      </c>
      <c r="L153" s="156"/>
      <c r="M153" s="157" t="str">
        <f t="shared" si="13"/>
        <v>PE</v>
      </c>
      <c r="N153" s="158"/>
      <c r="O153" s="159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09">
        <f t="shared" si="17"/>
        <v>0</v>
      </c>
      <c r="C154" s="109"/>
      <c r="D154" s="109"/>
      <c r="E154" s="109"/>
      <c r="F154" s="109"/>
      <c r="G154" s="109"/>
      <c r="H154" s="152">
        <f t="shared" si="15"/>
        <v>0</v>
      </c>
      <c r="I154" s="153"/>
      <c r="J154" s="154"/>
      <c r="K154" s="155">
        <f t="shared" si="16"/>
        <v>0</v>
      </c>
      <c r="L154" s="156"/>
      <c r="M154" s="157">
        <f t="shared" si="13"/>
        <v>0</v>
      </c>
      <c r="N154" s="158"/>
      <c r="O154" s="159"/>
      <c r="P154" s="35">
        <f t="shared" si="14"/>
        <v>0</v>
      </c>
    </row>
    <row r="155" spans="1:20" ht="21.95" customHeight="1" thickBot="1" x14ac:dyDescent="0.3">
      <c r="A155" s="126" t="s">
        <v>17</v>
      </c>
      <c r="B155" s="127"/>
      <c r="C155" s="127"/>
      <c r="D155" s="127"/>
      <c r="E155" s="127"/>
      <c r="F155" s="127"/>
      <c r="G155" s="116"/>
      <c r="H155" s="128">
        <f>SUM(H135:J154)</f>
        <v>280</v>
      </c>
      <c r="I155" s="168"/>
      <c r="J155" s="169"/>
      <c r="K155" s="131">
        <f>SUM(K135:L154)</f>
        <v>17474</v>
      </c>
      <c r="L155" s="132"/>
      <c r="M155" s="133"/>
      <c r="N155" s="134"/>
      <c r="O155" s="135"/>
      <c r="P155" s="19"/>
    </row>
    <row r="157" spans="1:20" ht="31.9" customHeight="1" x14ac:dyDescent="0.25">
      <c r="A157" s="137" t="s">
        <v>22</v>
      </c>
      <c r="B157" s="138"/>
      <c r="C157" s="138"/>
      <c r="D157" s="139" t="str">
        <f>D117</f>
        <v>MD.JAKIR</v>
      </c>
      <c r="E157" s="139"/>
      <c r="F157" s="139"/>
      <c r="G157" s="138" t="s">
        <v>23</v>
      </c>
      <c r="H157" s="138"/>
      <c r="I157" s="138"/>
      <c r="J157" s="138"/>
      <c r="K157" s="138"/>
      <c r="L157" s="138"/>
      <c r="M157" s="140" t="str">
        <f>M117</f>
        <v>01744-114979</v>
      </c>
      <c r="N157" s="140"/>
      <c r="O157" s="140"/>
      <c r="P157" s="141"/>
    </row>
    <row r="158" spans="1:20" ht="31.9" customHeight="1" x14ac:dyDescent="0.25">
      <c r="A158" s="142" t="s">
        <v>24</v>
      </c>
      <c r="B158" s="143"/>
      <c r="C158" s="143"/>
      <c r="D158" s="144" t="str">
        <f>D118</f>
        <v>P046</v>
      </c>
      <c r="E158" s="144"/>
      <c r="F158" s="144"/>
      <c r="G158" s="143" t="s">
        <v>25</v>
      </c>
      <c r="H158" s="143"/>
      <c r="I158" s="143"/>
      <c r="J158" s="143"/>
      <c r="K158" s="143"/>
      <c r="L158" s="143"/>
      <c r="M158" s="145" t="str">
        <f>M118</f>
        <v>DM-TA 11-8150</v>
      </c>
      <c r="N158" s="145"/>
      <c r="O158" s="145"/>
      <c r="P158" s="146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36" t="s">
        <v>18</v>
      </c>
      <c r="B160" s="136"/>
      <c r="C160" s="136"/>
      <c r="D160" s="4"/>
      <c r="E160" s="4"/>
      <c r="F160" s="136" t="s">
        <v>19</v>
      </c>
      <c r="G160" s="136"/>
      <c r="H160" s="36"/>
      <c r="I160" s="36"/>
      <c r="J160" s="36"/>
      <c r="K160" s="4"/>
      <c r="L160" s="136" t="s">
        <v>20</v>
      </c>
      <c r="M160" s="136"/>
      <c r="N160" s="136"/>
      <c r="O160" s="136"/>
      <c r="P160" s="136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26:G26"/>
    <mergeCell ref="H26:J26"/>
    <mergeCell ref="K26:L26"/>
    <mergeCell ref="M26:O26"/>
    <mergeCell ref="B27:G27"/>
    <mergeCell ref="H27:J27"/>
    <mergeCell ref="K27:L27"/>
    <mergeCell ref="M27:O27"/>
    <mergeCell ref="B24:G24"/>
    <mergeCell ref="H24:J24"/>
    <mergeCell ref="K24:L24"/>
    <mergeCell ref="M24:O24"/>
    <mergeCell ref="B25:G25"/>
    <mergeCell ref="H25:J25"/>
    <mergeCell ref="K25:L25"/>
    <mergeCell ref="M25:O25"/>
    <mergeCell ref="V16:V18"/>
    <mergeCell ref="B17:G17"/>
    <mergeCell ref="H17:J17"/>
    <mergeCell ref="K17:L17"/>
    <mergeCell ref="M17:O17"/>
    <mergeCell ref="B18:G18"/>
    <mergeCell ref="B23:G23"/>
    <mergeCell ref="H23:J23"/>
    <mergeCell ref="K23:L23"/>
    <mergeCell ref="M23:O23"/>
    <mergeCell ref="V19:V21"/>
    <mergeCell ref="B20:G20"/>
    <mergeCell ref="H20:J20"/>
    <mergeCell ref="K20:L20"/>
    <mergeCell ref="M20:O20"/>
    <mergeCell ref="B21:G21"/>
    <mergeCell ref="H21:J21"/>
    <mergeCell ref="K21:L21"/>
    <mergeCell ref="M21:O21"/>
    <mergeCell ref="B19:G19"/>
    <mergeCell ref="H19:J19"/>
    <mergeCell ref="K19:L19"/>
    <mergeCell ref="M19:O19"/>
    <mergeCell ref="M15:O15"/>
    <mergeCell ref="H18:J18"/>
    <mergeCell ref="K18:L18"/>
    <mergeCell ref="M18:O18"/>
    <mergeCell ref="B16:G16"/>
    <mergeCell ref="H16:J16"/>
    <mergeCell ref="K16:L16"/>
    <mergeCell ref="M16:O16"/>
    <mergeCell ref="B22:G22"/>
    <mergeCell ref="H22:J22"/>
    <mergeCell ref="K22:L22"/>
    <mergeCell ref="M22:O22"/>
    <mergeCell ref="C12:G12"/>
    <mergeCell ref="H12:L12"/>
    <mergeCell ref="M12:O14"/>
    <mergeCell ref="P12:P14"/>
    <mergeCell ref="C13:G13"/>
    <mergeCell ref="H13:J14"/>
    <mergeCell ref="K13:L14"/>
    <mergeCell ref="V7:V9"/>
    <mergeCell ref="A8:F10"/>
    <mergeCell ref="H8:J8"/>
    <mergeCell ref="L8:P8"/>
    <mergeCell ref="H9:J11"/>
    <mergeCell ref="K9:K11"/>
    <mergeCell ref="L9:P11"/>
    <mergeCell ref="V10:V12"/>
    <mergeCell ref="A11:B11"/>
    <mergeCell ref="A12:B12"/>
    <mergeCell ref="V13:V15"/>
    <mergeCell ref="A14:B14"/>
    <mergeCell ref="C14:D14"/>
    <mergeCell ref="E14:G14"/>
    <mergeCell ref="B15:G15"/>
    <mergeCell ref="H15:J15"/>
    <mergeCell ref="K15:L15"/>
    <mergeCell ref="A6:B6"/>
    <mergeCell ref="C6:F6"/>
    <mergeCell ref="H6:J6"/>
    <mergeCell ref="L6:P6"/>
    <mergeCell ref="H7:J7"/>
    <mergeCell ref="L7:P7"/>
    <mergeCell ref="A2:C3"/>
    <mergeCell ref="D2:L3"/>
    <mergeCell ref="M2:P3"/>
    <mergeCell ref="A4:C4"/>
    <mergeCell ref="D4:L4"/>
    <mergeCell ref="A5:B5"/>
    <mergeCell ref="D5:L5"/>
    <mergeCell ref="N5:P5"/>
  </mergeCells>
  <dataValidations count="4">
    <dataValidation type="list" allowBlank="1" showInputMessage="1" showErrorMessage="1" sqref="C14:D14 C94:D94 C54:D54 C134:D134" xr:uid="{FFA8E364-65E8-4E97-823C-1B471A0BF3F8}">
      <formula1>$W$7:$W$161</formula1>
    </dataValidation>
    <dataValidation type="list" allowBlank="1" showInputMessage="1" showErrorMessage="1" sqref="L9:P11 L49:P51 L89:P91 L129:P131" xr:uid="{ED5D2C3C-0EBF-424B-BF30-0E4A6C48AFDA}">
      <formula1>Carrier</formula1>
    </dataValidation>
    <dataValidation type="list" allowBlank="1" showInputMessage="1" showErrorMessage="1" sqref="A8 A48 A88 A128" xr:uid="{8AE3DE5D-551D-4C44-AED7-2E7DE3829952}">
      <formula1>$T$7:$T$35</formula1>
    </dataValidation>
    <dataValidation type="list" allowBlank="1" showInputMessage="1" showErrorMessage="1" sqref="L8:P8 L48:P48 L88:P88 L128:P128" xr:uid="{7D970B60-1412-40CE-A751-D4DB49BE971A}">
      <formula1>Mode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F8849-E153-456B-B13D-C228EA204ACD}">
  <sheetPr>
    <tabColor rgb="FF00B050"/>
  </sheetPr>
  <dimension ref="A1:Y168"/>
  <sheetViews>
    <sheetView tabSelected="1" view="pageBreakPreview" zoomScaleNormal="100" zoomScaleSheetLayoutView="100" workbookViewId="0">
      <selection activeCell="AE14" sqref="AE14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37"/>
      <c r="B2" s="37"/>
      <c r="C2" s="37"/>
      <c r="D2" s="38" t="s">
        <v>27</v>
      </c>
      <c r="E2" s="38"/>
      <c r="F2" s="38"/>
      <c r="G2" s="38"/>
      <c r="H2" s="38"/>
      <c r="I2" s="38"/>
      <c r="J2" s="38"/>
      <c r="K2" s="38"/>
      <c r="L2" s="38"/>
      <c r="M2" s="39" t="s">
        <v>26</v>
      </c>
      <c r="N2" s="39"/>
      <c r="O2" s="39"/>
      <c r="P2" s="39"/>
      <c r="Q2" s="10"/>
    </row>
    <row r="3" spans="1:25" ht="22.15" customHeight="1" x14ac:dyDescent="0.25">
      <c r="A3" s="37"/>
      <c r="B3" s="37"/>
      <c r="C3" s="37"/>
      <c r="D3" s="38"/>
      <c r="E3" s="38"/>
      <c r="F3" s="38"/>
      <c r="G3" s="38"/>
      <c r="H3" s="38"/>
      <c r="I3" s="38"/>
      <c r="J3" s="38"/>
      <c r="K3" s="38"/>
      <c r="L3" s="38"/>
      <c r="M3" s="39"/>
      <c r="N3" s="39"/>
      <c r="O3" s="39"/>
      <c r="P3" s="39"/>
      <c r="Q3" s="10"/>
    </row>
    <row r="4" spans="1:25" ht="17.45" customHeight="1" x14ac:dyDescent="0.25">
      <c r="A4" s="40"/>
      <c r="B4" s="40"/>
      <c r="C4" s="40"/>
      <c r="D4" s="41" t="s">
        <v>21</v>
      </c>
      <c r="E4" s="41"/>
      <c r="F4" s="41"/>
      <c r="G4" s="41"/>
      <c r="H4" s="41"/>
      <c r="I4" s="41"/>
      <c r="J4" s="41"/>
      <c r="K4" s="41"/>
      <c r="L4" s="41"/>
      <c r="M4" s="11"/>
    </row>
    <row r="5" spans="1:25" ht="22.15" customHeight="1" thickBot="1" x14ac:dyDescent="0.35">
      <c r="A5" s="42"/>
      <c r="B5" s="42"/>
      <c r="C5" s="1"/>
      <c r="D5" s="43" t="s">
        <v>89</v>
      </c>
      <c r="E5" s="43"/>
      <c r="F5" s="43"/>
      <c r="G5" s="43"/>
      <c r="H5" s="43"/>
      <c r="I5" s="43"/>
      <c r="J5" s="43"/>
      <c r="K5" s="43"/>
      <c r="L5" s="43"/>
      <c r="M5" s="2"/>
      <c r="N5" s="37"/>
      <c r="O5" s="37"/>
      <c r="P5" s="37"/>
    </row>
    <row r="6" spans="1:25" ht="15.6" customHeight="1" thickBot="1" x14ac:dyDescent="0.35">
      <c r="A6" s="71" t="s">
        <v>9</v>
      </c>
      <c r="B6" s="72"/>
      <c r="C6" s="73" t="s">
        <v>115</v>
      </c>
      <c r="D6" s="73"/>
      <c r="E6" s="73"/>
      <c r="F6" s="74"/>
      <c r="G6" s="2"/>
      <c r="H6" s="75" t="s">
        <v>4</v>
      </c>
      <c r="I6" s="76"/>
      <c r="J6" s="76"/>
      <c r="K6" s="8" t="s">
        <v>7</v>
      </c>
      <c r="L6" s="77" t="s">
        <v>275</v>
      </c>
      <c r="M6" s="77"/>
      <c r="N6" s="77"/>
      <c r="O6" s="77"/>
      <c r="P6" s="78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52" t="s">
        <v>5</v>
      </c>
      <c r="I7" s="53"/>
      <c r="J7" s="53"/>
      <c r="K7" s="9" t="s">
        <v>7</v>
      </c>
      <c r="L7" s="79">
        <v>45687</v>
      </c>
      <c r="M7" s="79"/>
      <c r="N7" s="79"/>
      <c r="O7" s="79"/>
      <c r="P7" s="80"/>
      <c r="R7" s="28">
        <v>1</v>
      </c>
      <c r="S7" s="28" t="s">
        <v>39</v>
      </c>
      <c r="T7" s="29" t="s">
        <v>33</v>
      </c>
      <c r="U7" s="17" t="s">
        <v>29</v>
      </c>
      <c r="V7" s="44" t="s">
        <v>47</v>
      </c>
      <c r="W7" t="s">
        <v>54</v>
      </c>
    </row>
    <row r="8" spans="1:25" ht="18" customHeight="1" x14ac:dyDescent="0.3">
      <c r="A8" s="46" t="s">
        <v>113</v>
      </c>
      <c r="B8" s="47"/>
      <c r="C8" s="47"/>
      <c r="D8" s="47"/>
      <c r="E8" s="47"/>
      <c r="F8" s="48"/>
      <c r="G8" s="2"/>
      <c r="H8" s="52" t="s">
        <v>8</v>
      </c>
      <c r="I8" s="53"/>
      <c r="J8" s="53"/>
      <c r="K8" s="9" t="s">
        <v>7</v>
      </c>
      <c r="L8" s="54" t="s">
        <v>29</v>
      </c>
      <c r="M8" s="54"/>
      <c r="N8" s="54"/>
      <c r="O8" s="54"/>
      <c r="P8" s="55"/>
      <c r="R8" s="28">
        <v>2</v>
      </c>
      <c r="S8" s="28" t="s">
        <v>40</v>
      </c>
      <c r="T8" s="29" t="s">
        <v>99</v>
      </c>
      <c r="U8" s="17" t="s">
        <v>30</v>
      </c>
      <c r="V8" s="45"/>
      <c r="W8" t="s">
        <v>55</v>
      </c>
    </row>
    <row r="9" spans="1:25" ht="17.45" customHeight="1" x14ac:dyDescent="0.3">
      <c r="A9" s="46"/>
      <c r="B9" s="47"/>
      <c r="C9" s="47"/>
      <c r="D9" s="47"/>
      <c r="E9" s="47"/>
      <c r="F9" s="48"/>
      <c r="G9" s="2"/>
      <c r="H9" s="56" t="s">
        <v>6</v>
      </c>
      <c r="I9" s="57"/>
      <c r="J9" s="57"/>
      <c r="K9" s="62" t="s">
        <v>7</v>
      </c>
      <c r="L9" s="65" t="s">
        <v>52</v>
      </c>
      <c r="M9" s="65"/>
      <c r="N9" s="65"/>
      <c r="O9" s="65"/>
      <c r="P9" s="66"/>
      <c r="R9" s="28">
        <v>3</v>
      </c>
      <c r="S9" s="28" t="s">
        <v>41</v>
      </c>
      <c r="T9" s="29" t="s">
        <v>100</v>
      </c>
      <c r="U9" s="17" t="s">
        <v>31</v>
      </c>
      <c r="V9" s="45"/>
      <c r="W9" t="s">
        <v>56</v>
      </c>
    </row>
    <row r="10" spans="1:25" ht="18" customHeight="1" thickBot="1" x14ac:dyDescent="0.35">
      <c r="A10" s="49"/>
      <c r="B10" s="50"/>
      <c r="C10" s="50"/>
      <c r="D10" s="50"/>
      <c r="E10" s="50"/>
      <c r="F10" s="51"/>
      <c r="G10" s="2"/>
      <c r="H10" s="58"/>
      <c r="I10" s="59"/>
      <c r="J10" s="59"/>
      <c r="K10" s="63"/>
      <c r="L10" s="67"/>
      <c r="M10" s="67"/>
      <c r="N10" s="67"/>
      <c r="O10" s="67"/>
      <c r="P10" s="68"/>
      <c r="R10" s="28">
        <v>4</v>
      </c>
      <c r="S10" s="28" t="s">
        <v>42</v>
      </c>
      <c r="T10" s="30" t="s">
        <v>34</v>
      </c>
      <c r="U10" s="17"/>
      <c r="V10" s="44" t="s">
        <v>48</v>
      </c>
      <c r="W10" t="s">
        <v>57</v>
      </c>
    </row>
    <row r="11" spans="1:25" ht="18" customHeight="1" thickBot="1" x14ac:dyDescent="0.35">
      <c r="A11" s="42"/>
      <c r="B11" s="42"/>
      <c r="C11" s="1"/>
      <c r="D11" s="2"/>
      <c r="E11" s="2"/>
      <c r="F11" s="2"/>
      <c r="G11" s="2"/>
      <c r="H11" s="60"/>
      <c r="I11" s="61"/>
      <c r="J11" s="61"/>
      <c r="K11" s="64"/>
      <c r="L11" s="69"/>
      <c r="M11" s="69"/>
      <c r="N11" s="69"/>
      <c r="O11" s="69"/>
      <c r="P11" s="70"/>
      <c r="R11" s="28">
        <v>5</v>
      </c>
      <c r="S11" s="28" t="s">
        <v>43</v>
      </c>
      <c r="T11" s="30" t="s">
        <v>35</v>
      </c>
      <c r="U11" s="17"/>
      <c r="V11" s="45"/>
      <c r="W11" t="s">
        <v>58</v>
      </c>
    </row>
    <row r="12" spans="1:25" ht="16.149999999999999" customHeight="1" x14ac:dyDescent="0.25">
      <c r="A12" s="103" t="s">
        <v>12</v>
      </c>
      <c r="B12" s="104"/>
      <c r="C12" s="105" t="s">
        <v>0</v>
      </c>
      <c r="D12" s="105"/>
      <c r="E12" s="105"/>
      <c r="F12" s="105"/>
      <c r="G12" s="105"/>
      <c r="H12" s="81" t="s">
        <v>1</v>
      </c>
      <c r="I12" s="82"/>
      <c r="J12" s="82"/>
      <c r="K12" s="82"/>
      <c r="L12" s="83"/>
      <c r="M12" s="84" t="s">
        <v>16</v>
      </c>
      <c r="N12" s="85"/>
      <c r="O12" s="86"/>
      <c r="P12" s="93" t="s">
        <v>3</v>
      </c>
      <c r="R12" s="28">
        <v>6</v>
      </c>
      <c r="S12" s="28" t="s">
        <v>44</v>
      </c>
      <c r="T12" s="30" t="s">
        <v>36</v>
      </c>
      <c r="U12" s="17"/>
      <c r="V12" s="45"/>
      <c r="W12" t="s">
        <v>67</v>
      </c>
    </row>
    <row r="13" spans="1:25" ht="16.149999999999999" customHeight="1" x14ac:dyDescent="0.25">
      <c r="A13" s="3" t="s">
        <v>13</v>
      </c>
      <c r="B13" s="33">
        <v>1</v>
      </c>
      <c r="C13" s="96" t="s">
        <v>14</v>
      </c>
      <c r="D13" s="96"/>
      <c r="E13" s="96"/>
      <c r="F13" s="96"/>
      <c r="G13" s="96"/>
      <c r="H13" s="97" t="s">
        <v>2</v>
      </c>
      <c r="I13" s="98"/>
      <c r="J13" s="99"/>
      <c r="K13" s="97" t="s">
        <v>15</v>
      </c>
      <c r="L13" s="99"/>
      <c r="M13" s="87"/>
      <c r="N13" s="88"/>
      <c r="O13" s="89"/>
      <c r="P13" s="94"/>
      <c r="R13" s="28">
        <v>7</v>
      </c>
      <c r="S13" s="28" t="s">
        <v>45</v>
      </c>
      <c r="T13" s="30" t="s">
        <v>37</v>
      </c>
      <c r="U13" s="12"/>
      <c r="V13" s="44" t="s">
        <v>49</v>
      </c>
      <c r="W13" t="s">
        <v>59</v>
      </c>
    </row>
    <row r="14" spans="1:25" ht="16.149999999999999" customHeight="1" thickBot="1" x14ac:dyDescent="0.3">
      <c r="A14" s="113" t="s">
        <v>11</v>
      </c>
      <c r="B14" s="114"/>
      <c r="C14" s="115" t="s">
        <v>66</v>
      </c>
      <c r="D14" s="116"/>
      <c r="E14" s="117" t="s">
        <v>88</v>
      </c>
      <c r="F14" s="118"/>
      <c r="G14" s="114"/>
      <c r="H14" s="100"/>
      <c r="I14" s="101"/>
      <c r="J14" s="102"/>
      <c r="K14" s="100"/>
      <c r="L14" s="102"/>
      <c r="M14" s="90"/>
      <c r="N14" s="91"/>
      <c r="O14" s="92"/>
      <c r="P14" s="95"/>
      <c r="R14" s="28">
        <v>8</v>
      </c>
      <c r="S14" s="28" t="s">
        <v>46</v>
      </c>
      <c r="T14" s="30" t="s">
        <v>38</v>
      </c>
      <c r="U14" s="12"/>
      <c r="V14" s="45"/>
      <c r="W14" t="s">
        <v>60</v>
      </c>
    </row>
    <row r="15" spans="1:25" ht="25.15" customHeight="1" x14ac:dyDescent="0.25">
      <c r="A15" s="31"/>
      <c r="B15" s="119" t="s">
        <v>182</v>
      </c>
      <c r="C15" s="119"/>
      <c r="D15" s="119"/>
      <c r="E15" s="119"/>
      <c r="F15" s="119"/>
      <c r="G15" s="119"/>
      <c r="H15" s="120">
        <v>26</v>
      </c>
      <c r="I15" s="121"/>
      <c r="J15" s="122"/>
      <c r="K15" s="123">
        <v>627</v>
      </c>
      <c r="L15" s="124"/>
      <c r="M15" s="106" t="s">
        <v>154</v>
      </c>
      <c r="N15" s="107"/>
      <c r="O15" s="108"/>
      <c r="P15" s="34"/>
      <c r="R15" s="28">
        <v>9</v>
      </c>
      <c r="S15" s="28" t="s">
        <v>96</v>
      </c>
      <c r="T15" s="30" t="s">
        <v>93</v>
      </c>
      <c r="U15" s="12"/>
      <c r="V15" s="45"/>
      <c r="W15" t="s">
        <v>61</v>
      </c>
    </row>
    <row r="16" spans="1:25" ht="25.15" customHeight="1" x14ac:dyDescent="0.25">
      <c r="A16" s="32"/>
      <c r="B16" s="109" t="s">
        <v>130</v>
      </c>
      <c r="C16" s="109"/>
      <c r="D16" s="109"/>
      <c r="E16" s="109"/>
      <c r="F16" s="109"/>
      <c r="G16" s="109"/>
      <c r="H16" s="110">
        <v>16</v>
      </c>
      <c r="I16" s="110"/>
      <c r="J16" s="110"/>
      <c r="K16" s="111">
        <v>1223</v>
      </c>
      <c r="L16" s="111"/>
      <c r="M16" s="112" t="s">
        <v>169</v>
      </c>
      <c r="N16" s="112"/>
      <c r="O16" s="112"/>
      <c r="P16" s="35"/>
      <c r="R16" s="28">
        <v>10</v>
      </c>
      <c r="S16" s="28" t="s">
        <v>98</v>
      </c>
      <c r="T16" s="30" t="s">
        <v>94</v>
      </c>
      <c r="U16" s="12"/>
      <c r="V16" s="44" t="s">
        <v>50</v>
      </c>
      <c r="W16" t="s">
        <v>62</v>
      </c>
    </row>
    <row r="17" spans="1:23" ht="25.15" customHeight="1" x14ac:dyDescent="0.25">
      <c r="A17" s="32"/>
      <c r="B17" s="109" t="s">
        <v>183</v>
      </c>
      <c r="C17" s="109"/>
      <c r="D17" s="109"/>
      <c r="E17" s="109"/>
      <c r="F17" s="109"/>
      <c r="G17" s="109"/>
      <c r="H17" s="110">
        <v>35</v>
      </c>
      <c r="I17" s="110"/>
      <c r="J17" s="110"/>
      <c r="K17" s="111">
        <v>1879</v>
      </c>
      <c r="L17" s="111"/>
      <c r="M17" s="112" t="s">
        <v>164</v>
      </c>
      <c r="N17" s="112"/>
      <c r="O17" s="112"/>
      <c r="P17" s="35"/>
      <c r="R17" s="28">
        <v>11</v>
      </c>
      <c r="S17" s="28" t="s">
        <v>97</v>
      </c>
      <c r="T17" s="30" t="s">
        <v>95</v>
      </c>
      <c r="U17" s="12"/>
      <c r="V17" s="45"/>
      <c r="W17" t="s">
        <v>63</v>
      </c>
    </row>
    <row r="18" spans="1:23" ht="25.15" customHeight="1" x14ac:dyDescent="0.25">
      <c r="A18" s="32"/>
      <c r="B18" s="109" t="s">
        <v>184</v>
      </c>
      <c r="C18" s="109"/>
      <c r="D18" s="109"/>
      <c r="E18" s="109"/>
      <c r="F18" s="109"/>
      <c r="G18" s="109"/>
      <c r="H18" s="110">
        <v>28</v>
      </c>
      <c r="I18" s="110"/>
      <c r="J18" s="110"/>
      <c r="K18" s="111">
        <v>1338</v>
      </c>
      <c r="L18" s="111"/>
      <c r="M18" s="112" t="s">
        <v>164</v>
      </c>
      <c r="N18" s="112"/>
      <c r="O18" s="112"/>
      <c r="P18" s="35"/>
      <c r="R18" s="28">
        <v>12</v>
      </c>
      <c r="S18" s="28" t="s">
        <v>101</v>
      </c>
      <c r="T18" s="30" t="s">
        <v>102</v>
      </c>
      <c r="U18" s="12"/>
      <c r="V18" s="45"/>
      <c r="W18" t="s">
        <v>64</v>
      </c>
    </row>
    <row r="19" spans="1:23" ht="25.15" customHeight="1" x14ac:dyDescent="0.25">
      <c r="A19" s="32"/>
      <c r="B19" s="109" t="s">
        <v>185</v>
      </c>
      <c r="C19" s="109"/>
      <c r="D19" s="109"/>
      <c r="E19" s="109"/>
      <c r="F19" s="109"/>
      <c r="G19" s="109"/>
      <c r="H19" s="110">
        <v>12</v>
      </c>
      <c r="I19" s="110"/>
      <c r="J19" s="110"/>
      <c r="K19" s="111">
        <v>475</v>
      </c>
      <c r="L19" s="111"/>
      <c r="M19" s="112" t="s">
        <v>164</v>
      </c>
      <c r="N19" s="112"/>
      <c r="O19" s="112"/>
      <c r="P19" s="35"/>
      <c r="R19" s="28">
        <v>13</v>
      </c>
      <c r="S19" s="28" t="s">
        <v>104</v>
      </c>
      <c r="T19" s="30" t="s">
        <v>103</v>
      </c>
      <c r="U19" s="12"/>
      <c r="V19" s="44" t="s">
        <v>51</v>
      </c>
      <c r="W19" t="s">
        <v>65</v>
      </c>
    </row>
    <row r="20" spans="1:23" ht="25.15" customHeight="1" x14ac:dyDescent="0.25">
      <c r="A20" s="32"/>
      <c r="B20" s="109" t="s">
        <v>186</v>
      </c>
      <c r="C20" s="109"/>
      <c r="D20" s="109"/>
      <c r="E20" s="109"/>
      <c r="F20" s="109"/>
      <c r="G20" s="109"/>
      <c r="H20" s="110">
        <v>3</v>
      </c>
      <c r="I20" s="110"/>
      <c r="J20" s="110"/>
      <c r="K20" s="111">
        <v>165</v>
      </c>
      <c r="L20" s="111"/>
      <c r="M20" s="125" t="s">
        <v>160</v>
      </c>
      <c r="N20" s="112"/>
      <c r="O20" s="112"/>
      <c r="P20" s="35"/>
      <c r="R20" s="28">
        <v>14</v>
      </c>
      <c r="S20" s="28" t="s">
        <v>105</v>
      </c>
      <c r="T20" s="30" t="s">
        <v>106</v>
      </c>
      <c r="U20" s="12"/>
      <c r="V20" s="45"/>
      <c r="W20" t="s">
        <v>66</v>
      </c>
    </row>
    <row r="21" spans="1:23" ht="25.15" customHeight="1" x14ac:dyDescent="0.25">
      <c r="A21" s="32"/>
      <c r="B21" s="109" t="s">
        <v>135</v>
      </c>
      <c r="C21" s="109"/>
      <c r="D21" s="109"/>
      <c r="E21" s="109"/>
      <c r="F21" s="109"/>
      <c r="G21" s="109"/>
      <c r="H21" s="110">
        <v>23</v>
      </c>
      <c r="I21" s="110"/>
      <c r="J21" s="110"/>
      <c r="K21" s="111">
        <v>1885</v>
      </c>
      <c r="L21" s="111"/>
      <c r="M21" s="112" t="s">
        <v>149</v>
      </c>
      <c r="N21" s="112"/>
      <c r="O21" s="112"/>
      <c r="P21" s="35"/>
      <c r="R21" s="28">
        <v>15</v>
      </c>
      <c r="S21" s="28" t="s">
        <v>108</v>
      </c>
      <c r="T21" s="30" t="s">
        <v>107</v>
      </c>
      <c r="U21" s="12"/>
      <c r="V21" s="45"/>
      <c r="W21" t="s">
        <v>68</v>
      </c>
    </row>
    <row r="22" spans="1:23" ht="25.15" customHeight="1" x14ac:dyDescent="0.25">
      <c r="A22" s="32"/>
      <c r="B22" s="109" t="s">
        <v>140</v>
      </c>
      <c r="C22" s="109"/>
      <c r="D22" s="109"/>
      <c r="E22" s="109"/>
      <c r="F22" s="109"/>
      <c r="G22" s="109"/>
      <c r="H22" s="110">
        <v>2</v>
      </c>
      <c r="I22" s="110"/>
      <c r="J22" s="110"/>
      <c r="K22" s="111">
        <v>74</v>
      </c>
      <c r="L22" s="111"/>
      <c r="M22" s="112" t="s">
        <v>127</v>
      </c>
      <c r="N22" s="112"/>
      <c r="O22" s="112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09" t="s">
        <v>144</v>
      </c>
      <c r="C23" s="109"/>
      <c r="D23" s="109"/>
      <c r="E23" s="109"/>
      <c r="F23" s="109"/>
      <c r="G23" s="109"/>
      <c r="H23" s="110">
        <v>1</v>
      </c>
      <c r="I23" s="110"/>
      <c r="J23" s="110"/>
      <c r="K23" s="111">
        <v>29</v>
      </c>
      <c r="L23" s="111"/>
      <c r="M23" s="112" t="s">
        <v>127</v>
      </c>
      <c r="N23" s="112"/>
      <c r="O23" s="112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09" t="s">
        <v>146</v>
      </c>
      <c r="C24" s="109"/>
      <c r="D24" s="109"/>
      <c r="E24" s="109"/>
      <c r="F24" s="109"/>
      <c r="G24" s="109"/>
      <c r="H24" s="110">
        <v>4</v>
      </c>
      <c r="I24" s="110"/>
      <c r="J24" s="110"/>
      <c r="K24" s="111">
        <v>330</v>
      </c>
      <c r="L24" s="111"/>
      <c r="M24" s="112" t="s">
        <v>127</v>
      </c>
      <c r="N24" s="112"/>
      <c r="O24" s="112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09" t="s">
        <v>187</v>
      </c>
      <c r="C25" s="109"/>
      <c r="D25" s="109"/>
      <c r="E25" s="109"/>
      <c r="F25" s="109"/>
      <c r="G25" s="109"/>
      <c r="H25" s="110">
        <v>15</v>
      </c>
      <c r="I25" s="110"/>
      <c r="J25" s="110"/>
      <c r="K25" s="111">
        <v>747</v>
      </c>
      <c r="L25" s="111"/>
      <c r="M25" s="112" t="s">
        <v>164</v>
      </c>
      <c r="N25" s="112"/>
      <c r="O25" s="112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09" t="s">
        <v>132</v>
      </c>
      <c r="C26" s="109"/>
      <c r="D26" s="109"/>
      <c r="E26" s="109"/>
      <c r="F26" s="109"/>
      <c r="G26" s="109"/>
      <c r="H26" s="110">
        <v>3</v>
      </c>
      <c r="I26" s="110"/>
      <c r="J26" s="110"/>
      <c r="K26" s="111">
        <v>220</v>
      </c>
      <c r="L26" s="111"/>
      <c r="M26" s="112" t="s">
        <v>127</v>
      </c>
      <c r="N26" s="112"/>
      <c r="O26" s="112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09" t="s">
        <v>188</v>
      </c>
      <c r="C27" s="109"/>
      <c r="D27" s="109"/>
      <c r="E27" s="109"/>
      <c r="F27" s="109"/>
      <c r="G27" s="109"/>
      <c r="H27" s="110">
        <v>26</v>
      </c>
      <c r="I27" s="110"/>
      <c r="J27" s="110"/>
      <c r="K27" s="111">
        <v>754</v>
      </c>
      <c r="L27" s="111"/>
      <c r="M27" s="112" t="s">
        <v>154</v>
      </c>
      <c r="N27" s="112"/>
      <c r="O27" s="112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09" t="s">
        <v>126</v>
      </c>
      <c r="C28" s="109"/>
      <c r="D28" s="109"/>
      <c r="E28" s="109"/>
      <c r="F28" s="109"/>
      <c r="G28" s="109"/>
      <c r="H28" s="110">
        <v>1</v>
      </c>
      <c r="I28" s="110"/>
      <c r="J28" s="110"/>
      <c r="K28" s="111">
        <v>48</v>
      </c>
      <c r="L28" s="111"/>
      <c r="M28" s="112" t="s">
        <v>127</v>
      </c>
      <c r="N28" s="112"/>
      <c r="O28" s="112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09" t="s">
        <v>189</v>
      </c>
      <c r="C29" s="109"/>
      <c r="D29" s="109"/>
      <c r="E29" s="109"/>
      <c r="F29" s="109"/>
      <c r="G29" s="109"/>
      <c r="H29" s="110">
        <v>23</v>
      </c>
      <c r="I29" s="110"/>
      <c r="J29" s="110"/>
      <c r="K29" s="111">
        <v>1124</v>
      </c>
      <c r="L29" s="111"/>
      <c r="M29" s="112" t="s">
        <v>190</v>
      </c>
      <c r="N29" s="112"/>
      <c r="O29" s="112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09" t="s">
        <v>191</v>
      </c>
      <c r="C30" s="109"/>
      <c r="D30" s="109"/>
      <c r="E30" s="109"/>
      <c r="F30" s="109"/>
      <c r="G30" s="109"/>
      <c r="H30" s="110">
        <v>65</v>
      </c>
      <c r="I30" s="110"/>
      <c r="J30" s="110"/>
      <c r="K30" s="111">
        <v>4540</v>
      </c>
      <c r="L30" s="111"/>
      <c r="M30" s="112" t="s">
        <v>164</v>
      </c>
      <c r="N30" s="112"/>
      <c r="O30" s="112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09"/>
      <c r="C31" s="109"/>
      <c r="D31" s="109"/>
      <c r="E31" s="109"/>
      <c r="F31" s="109"/>
      <c r="G31" s="109"/>
      <c r="H31" s="110"/>
      <c r="I31" s="110"/>
      <c r="J31" s="110"/>
      <c r="K31" s="111"/>
      <c r="L31" s="111"/>
      <c r="M31" s="112"/>
      <c r="N31" s="112"/>
      <c r="O31" s="112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09"/>
      <c r="C32" s="109"/>
      <c r="D32" s="109"/>
      <c r="E32" s="109"/>
      <c r="F32" s="109"/>
      <c r="G32" s="109"/>
      <c r="H32" s="110"/>
      <c r="I32" s="110"/>
      <c r="J32" s="110"/>
      <c r="K32" s="111"/>
      <c r="L32" s="111"/>
      <c r="M32" s="112"/>
      <c r="N32" s="112"/>
      <c r="O32" s="112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09"/>
      <c r="C33" s="109"/>
      <c r="D33" s="109"/>
      <c r="E33" s="109"/>
      <c r="F33" s="109"/>
      <c r="G33" s="109"/>
      <c r="H33" s="110"/>
      <c r="I33" s="110"/>
      <c r="J33" s="110"/>
      <c r="K33" s="111"/>
      <c r="L33" s="111"/>
      <c r="M33" s="112"/>
      <c r="N33" s="112"/>
      <c r="O33" s="112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09"/>
      <c r="C34" s="109"/>
      <c r="D34" s="109"/>
      <c r="E34" s="109"/>
      <c r="F34" s="109"/>
      <c r="G34" s="109"/>
      <c r="H34" s="110"/>
      <c r="I34" s="110"/>
      <c r="J34" s="110"/>
      <c r="K34" s="111"/>
      <c r="L34" s="111"/>
      <c r="M34" s="112"/>
      <c r="N34" s="112"/>
      <c r="O34" s="112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26" t="s">
        <v>17</v>
      </c>
      <c r="B35" s="127"/>
      <c r="C35" s="127"/>
      <c r="D35" s="127"/>
      <c r="E35" s="127"/>
      <c r="F35" s="127"/>
      <c r="G35" s="116"/>
      <c r="H35" s="128">
        <f>SUM(H15:J34)</f>
        <v>283</v>
      </c>
      <c r="I35" s="129"/>
      <c r="J35" s="130"/>
      <c r="K35" s="131">
        <f>SUM(K15:L34)</f>
        <v>15458</v>
      </c>
      <c r="L35" s="132"/>
      <c r="M35" s="133"/>
      <c r="N35" s="134"/>
      <c r="O35" s="135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37" t="s">
        <v>22</v>
      </c>
      <c r="B37" s="138"/>
      <c r="C37" s="138"/>
      <c r="D37" s="139" t="s">
        <v>278</v>
      </c>
      <c r="E37" s="139"/>
      <c r="F37" s="139"/>
      <c r="G37" s="138" t="s">
        <v>23</v>
      </c>
      <c r="H37" s="138"/>
      <c r="I37" s="138"/>
      <c r="J37" s="138"/>
      <c r="K37" s="138"/>
      <c r="L37" s="138"/>
      <c r="M37" s="140" t="s">
        <v>277</v>
      </c>
      <c r="N37" s="140"/>
      <c r="O37" s="140"/>
      <c r="P37" s="141"/>
      <c r="R37" s="23"/>
      <c r="S37" s="24"/>
      <c r="T37" s="21"/>
      <c r="W37" t="s">
        <v>84</v>
      </c>
    </row>
    <row r="38" spans="1:23" ht="31.9" customHeight="1" x14ac:dyDescent="0.25">
      <c r="A38" s="142" t="s">
        <v>24</v>
      </c>
      <c r="B38" s="143"/>
      <c r="C38" s="143"/>
      <c r="D38" s="144">
        <v>390201</v>
      </c>
      <c r="E38" s="144"/>
      <c r="F38" s="144"/>
      <c r="G38" s="143" t="s">
        <v>25</v>
      </c>
      <c r="H38" s="143"/>
      <c r="I38" s="143"/>
      <c r="J38" s="143"/>
      <c r="K38" s="143"/>
      <c r="L38" s="143"/>
      <c r="M38" s="145" t="s">
        <v>276</v>
      </c>
      <c r="N38" s="145"/>
      <c r="O38" s="145"/>
      <c r="P38" s="146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36" t="s">
        <v>18</v>
      </c>
      <c r="B40" s="136"/>
      <c r="C40" s="136"/>
      <c r="D40" s="4"/>
      <c r="E40" s="4"/>
      <c r="F40" s="136" t="s">
        <v>19</v>
      </c>
      <c r="G40" s="136"/>
      <c r="H40" s="36"/>
      <c r="I40" s="36"/>
      <c r="J40" s="36"/>
      <c r="K40" s="4"/>
      <c r="L40" s="136" t="s">
        <v>20</v>
      </c>
      <c r="M40" s="136"/>
      <c r="N40" s="136"/>
      <c r="O40" s="136"/>
      <c r="P40" s="136"/>
      <c r="W40" t="s">
        <v>87</v>
      </c>
    </row>
    <row r="41" spans="1:23" ht="8.25" customHeight="1" x14ac:dyDescent="0.25"/>
    <row r="42" spans="1:23" ht="36.75" customHeight="1" x14ac:dyDescent="0.25">
      <c r="A42" s="37"/>
      <c r="B42" s="37"/>
      <c r="C42" s="37"/>
      <c r="D42" s="38" t="s">
        <v>27</v>
      </c>
      <c r="E42" s="38"/>
      <c r="F42" s="38"/>
      <c r="G42" s="38"/>
      <c r="H42" s="38"/>
      <c r="I42" s="38"/>
      <c r="J42" s="38"/>
      <c r="K42" s="38"/>
      <c r="L42" s="38"/>
      <c r="M42" s="39" t="str">
        <f>M2</f>
        <v>FORM STR 03
REVISION NO 01</v>
      </c>
      <c r="N42" s="39"/>
      <c r="O42" s="39"/>
      <c r="P42" s="39"/>
      <c r="Q42" s="10"/>
      <c r="W42" t="s">
        <v>111</v>
      </c>
    </row>
    <row r="43" spans="1:23" ht="22.15" customHeight="1" x14ac:dyDescent="0.25">
      <c r="A43" s="37"/>
      <c r="B43" s="37"/>
      <c r="C43" s="37"/>
      <c r="D43" s="38"/>
      <c r="E43" s="38"/>
      <c r="F43" s="38"/>
      <c r="G43" s="38"/>
      <c r="H43" s="38"/>
      <c r="I43" s="38"/>
      <c r="J43" s="38"/>
      <c r="K43" s="38"/>
      <c r="L43" s="38"/>
      <c r="M43" s="39"/>
      <c r="N43" s="39"/>
      <c r="O43" s="39"/>
      <c r="P43" s="39"/>
      <c r="Q43" s="10"/>
    </row>
    <row r="44" spans="1:23" ht="17.45" customHeight="1" x14ac:dyDescent="0.25">
      <c r="A44" s="40"/>
      <c r="B44" s="40"/>
      <c r="C44" s="40"/>
      <c r="D44" s="41" t="s">
        <v>21</v>
      </c>
      <c r="E44" s="41"/>
      <c r="F44" s="41"/>
      <c r="G44" s="41"/>
      <c r="H44" s="41"/>
      <c r="I44" s="41"/>
      <c r="J44" s="41"/>
      <c r="K44" s="41"/>
      <c r="L44" s="41"/>
      <c r="M44" s="11"/>
    </row>
    <row r="45" spans="1:23" ht="22.15" customHeight="1" thickBot="1" x14ac:dyDescent="0.35">
      <c r="A45" s="42"/>
      <c r="B45" s="42"/>
      <c r="C45" s="1"/>
      <c r="D45" s="43" t="s">
        <v>90</v>
      </c>
      <c r="E45" s="43"/>
      <c r="F45" s="43"/>
      <c r="G45" s="43"/>
      <c r="H45" s="43"/>
      <c r="I45" s="43"/>
      <c r="J45" s="43"/>
      <c r="K45" s="43"/>
      <c r="L45" s="43"/>
      <c r="M45" s="2"/>
      <c r="N45" s="37"/>
      <c r="O45" s="37"/>
      <c r="P45" s="37"/>
    </row>
    <row r="46" spans="1:23" ht="15.6" customHeight="1" thickBot="1" x14ac:dyDescent="0.35">
      <c r="A46" s="71" t="s">
        <v>9</v>
      </c>
      <c r="B46" s="72"/>
      <c r="C46" s="73" t="str">
        <f>C6</f>
        <v>O540</v>
      </c>
      <c r="D46" s="73"/>
      <c r="E46" s="73"/>
      <c r="F46" s="74"/>
      <c r="G46" s="2"/>
      <c r="H46" s="75" t="s">
        <v>4</v>
      </c>
      <c r="I46" s="76"/>
      <c r="J46" s="76"/>
      <c r="K46" s="8" t="s">
        <v>7</v>
      </c>
      <c r="L46" s="77" t="str">
        <f>L6</f>
        <v>JP 523804</v>
      </c>
      <c r="M46" s="77"/>
      <c r="N46" s="77"/>
      <c r="O46" s="77"/>
      <c r="P46" s="78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52" t="s">
        <v>5</v>
      </c>
      <c r="I47" s="53"/>
      <c r="J47" s="53"/>
      <c r="K47" s="9" t="s">
        <v>7</v>
      </c>
      <c r="L47" s="79">
        <f>L7</f>
        <v>45687</v>
      </c>
      <c r="M47" s="79"/>
      <c r="N47" s="79"/>
      <c r="O47" s="79"/>
      <c r="P47" s="80"/>
      <c r="R47" s="88"/>
      <c r="S47" s="88"/>
      <c r="T47" s="147"/>
      <c r="U47" s="26"/>
      <c r="V47" s="147"/>
    </row>
    <row r="48" spans="1:23" ht="18" customHeight="1" x14ac:dyDescent="0.3">
      <c r="A48" s="46" t="str">
        <f>A8</f>
        <v>Summit Alliance Port Ltd. (SAPL).
Katghar, South Patenga, Chattogram.</v>
      </c>
      <c r="B48" s="47"/>
      <c r="C48" s="47"/>
      <c r="D48" s="47"/>
      <c r="E48" s="47"/>
      <c r="F48" s="48"/>
      <c r="G48" s="2"/>
      <c r="H48" s="52" t="s">
        <v>8</v>
      </c>
      <c r="I48" s="53"/>
      <c r="J48" s="53"/>
      <c r="K48" s="9" t="s">
        <v>7</v>
      </c>
      <c r="L48" s="54" t="str">
        <f>L8</f>
        <v>SEA</v>
      </c>
      <c r="M48" s="54"/>
      <c r="N48" s="54"/>
      <c r="O48" s="54"/>
      <c r="P48" s="55"/>
      <c r="R48" s="88"/>
      <c r="S48" s="88"/>
      <c r="T48" s="148"/>
      <c r="U48" s="26"/>
      <c r="V48" s="148"/>
    </row>
    <row r="49" spans="1:22" ht="17.45" customHeight="1" x14ac:dyDescent="0.3">
      <c r="A49" s="46"/>
      <c r="B49" s="47"/>
      <c r="C49" s="47"/>
      <c r="D49" s="47"/>
      <c r="E49" s="47"/>
      <c r="F49" s="48"/>
      <c r="G49" s="2"/>
      <c r="H49" s="56" t="s">
        <v>6</v>
      </c>
      <c r="I49" s="57"/>
      <c r="J49" s="57"/>
      <c r="K49" s="62" t="s">
        <v>7</v>
      </c>
      <c r="L49" s="65" t="str">
        <f>L9</f>
        <v>M/S. Kabir &amp; Co.
1104DT Road West Madarbari,
Chattogram, Bangladesh.</v>
      </c>
      <c r="M49" s="65"/>
      <c r="N49" s="65"/>
      <c r="O49" s="65"/>
      <c r="P49" s="66"/>
      <c r="R49" s="88"/>
      <c r="S49" s="88"/>
      <c r="T49" s="148"/>
      <c r="U49" s="26"/>
      <c r="V49" s="148"/>
    </row>
    <row r="50" spans="1:22" ht="18" thickBot="1" x14ac:dyDescent="0.35">
      <c r="A50" s="49"/>
      <c r="B50" s="50"/>
      <c r="C50" s="50"/>
      <c r="D50" s="50"/>
      <c r="E50" s="50"/>
      <c r="F50" s="51"/>
      <c r="G50" s="2"/>
      <c r="H50" s="58"/>
      <c r="I50" s="59"/>
      <c r="J50" s="59"/>
      <c r="K50" s="63"/>
      <c r="L50" s="67"/>
      <c r="M50" s="67"/>
      <c r="N50" s="67"/>
      <c r="O50" s="67"/>
      <c r="P50" s="68"/>
      <c r="R50" s="88"/>
      <c r="S50" s="88"/>
      <c r="T50" s="147"/>
      <c r="U50" s="26"/>
      <c r="V50" s="147"/>
    </row>
    <row r="51" spans="1:22" ht="18" customHeight="1" thickBot="1" x14ac:dyDescent="0.35">
      <c r="A51" s="42"/>
      <c r="B51" s="42"/>
      <c r="C51" s="1"/>
      <c r="D51" s="2"/>
      <c r="E51" s="2"/>
      <c r="F51" s="2"/>
      <c r="G51" s="2"/>
      <c r="H51" s="60"/>
      <c r="I51" s="61"/>
      <c r="J51" s="61"/>
      <c r="K51" s="64"/>
      <c r="L51" s="69"/>
      <c r="M51" s="69"/>
      <c r="N51" s="69"/>
      <c r="O51" s="69"/>
      <c r="P51" s="70"/>
      <c r="R51" s="88"/>
      <c r="S51" s="88"/>
      <c r="T51" s="147"/>
      <c r="U51" s="26"/>
      <c r="V51" s="148"/>
    </row>
    <row r="52" spans="1:22" ht="16.149999999999999" customHeight="1" x14ac:dyDescent="0.25">
      <c r="A52" s="103" t="s">
        <v>12</v>
      </c>
      <c r="B52" s="104"/>
      <c r="C52" s="105" t="s">
        <v>0</v>
      </c>
      <c r="D52" s="105"/>
      <c r="E52" s="105"/>
      <c r="F52" s="105"/>
      <c r="G52" s="105"/>
      <c r="H52" s="81" t="s">
        <v>1</v>
      </c>
      <c r="I52" s="82"/>
      <c r="J52" s="82"/>
      <c r="K52" s="82"/>
      <c r="L52" s="83"/>
      <c r="M52" s="84" t="s">
        <v>16</v>
      </c>
      <c r="N52" s="85"/>
      <c r="O52" s="86"/>
      <c r="P52" s="93" t="s">
        <v>3</v>
      </c>
      <c r="R52" s="88"/>
      <c r="S52" s="88"/>
      <c r="T52" s="147"/>
      <c r="U52" s="26"/>
      <c r="V52" s="148"/>
    </row>
    <row r="53" spans="1:22" ht="16.149999999999999" customHeight="1" x14ac:dyDescent="0.25">
      <c r="A53" s="3" t="s">
        <v>13</v>
      </c>
      <c r="B53" s="33">
        <f>B13</f>
        <v>1</v>
      </c>
      <c r="C53" s="96" t="str">
        <f>C13</f>
        <v>Delivery of Readymade Garments</v>
      </c>
      <c r="D53" s="96"/>
      <c r="E53" s="96"/>
      <c r="F53" s="96"/>
      <c r="G53" s="96"/>
      <c r="H53" s="97" t="s">
        <v>2</v>
      </c>
      <c r="I53" s="98"/>
      <c r="J53" s="99"/>
      <c r="K53" s="97" t="s">
        <v>15</v>
      </c>
      <c r="L53" s="99"/>
      <c r="M53" s="87"/>
      <c r="N53" s="88"/>
      <c r="O53" s="89"/>
      <c r="P53" s="94"/>
      <c r="R53" s="88"/>
      <c r="S53" s="88"/>
      <c r="T53" s="147"/>
      <c r="V53" s="147"/>
    </row>
    <row r="54" spans="1:22" ht="16.149999999999999" customHeight="1" thickBot="1" x14ac:dyDescent="0.3">
      <c r="A54" s="113" t="s">
        <v>11</v>
      </c>
      <c r="B54" s="114"/>
      <c r="C54" s="115" t="str">
        <f>C14</f>
        <v>H &amp; M</v>
      </c>
      <c r="D54" s="116"/>
      <c r="E54" s="117" t="s">
        <v>88</v>
      </c>
      <c r="F54" s="118"/>
      <c r="G54" s="114"/>
      <c r="H54" s="100"/>
      <c r="I54" s="101"/>
      <c r="J54" s="102"/>
      <c r="K54" s="100"/>
      <c r="L54" s="102"/>
      <c r="M54" s="90"/>
      <c r="N54" s="91"/>
      <c r="O54" s="92"/>
      <c r="P54" s="95"/>
      <c r="R54" s="88"/>
      <c r="S54" s="88"/>
      <c r="T54" s="147"/>
      <c r="V54" s="148"/>
    </row>
    <row r="55" spans="1:22" ht="25.15" customHeight="1" x14ac:dyDescent="0.25">
      <c r="A55" s="31">
        <f>A15</f>
        <v>0</v>
      </c>
      <c r="B55" s="119" t="str">
        <f>B15</f>
        <v>207671-3932</v>
      </c>
      <c r="C55" s="119"/>
      <c r="D55" s="119"/>
      <c r="E55" s="119"/>
      <c r="F55" s="119"/>
      <c r="G55" s="119"/>
      <c r="H55" s="120">
        <f>H15</f>
        <v>26</v>
      </c>
      <c r="I55" s="121"/>
      <c r="J55" s="122"/>
      <c r="K55" s="123">
        <f>K15</f>
        <v>627</v>
      </c>
      <c r="L55" s="124"/>
      <c r="M55" s="106" t="str">
        <f>M15</f>
        <v>PE</v>
      </c>
      <c r="N55" s="107"/>
      <c r="O55" s="108"/>
      <c r="P55" s="35">
        <f>P15</f>
        <v>0</v>
      </c>
      <c r="R55" s="88"/>
      <c r="S55" s="88"/>
      <c r="T55" s="147"/>
      <c r="V55" s="148"/>
    </row>
    <row r="56" spans="1:22" ht="25.15" customHeight="1" x14ac:dyDescent="0.25">
      <c r="A56" s="32">
        <f>A16</f>
        <v>0</v>
      </c>
      <c r="B56" s="109" t="str">
        <f>B16</f>
        <v>300635-5832</v>
      </c>
      <c r="C56" s="109"/>
      <c r="D56" s="109"/>
      <c r="E56" s="109"/>
      <c r="F56" s="109"/>
      <c r="G56" s="109"/>
      <c r="H56" s="110">
        <f>H16</f>
        <v>16</v>
      </c>
      <c r="I56" s="110"/>
      <c r="J56" s="110"/>
      <c r="K56" s="111">
        <f>K16</f>
        <v>1223</v>
      </c>
      <c r="L56" s="111"/>
      <c r="M56" s="112" t="str">
        <f t="shared" ref="M56:M74" si="0">M16</f>
        <v>PH</v>
      </c>
      <c r="N56" s="112"/>
      <c r="O56" s="112"/>
      <c r="P56" s="35">
        <f>P16</f>
        <v>0</v>
      </c>
      <c r="R56" s="88"/>
      <c r="S56" s="88"/>
      <c r="T56" s="67"/>
      <c r="V56" s="147"/>
    </row>
    <row r="57" spans="1:22" ht="25.15" customHeight="1" x14ac:dyDescent="0.25">
      <c r="A57" s="32">
        <f t="shared" ref="A57:B72" si="1">A17</f>
        <v>0</v>
      </c>
      <c r="B57" s="109" t="str">
        <f t="shared" si="1"/>
        <v>328562-7952</v>
      </c>
      <c r="C57" s="109"/>
      <c r="D57" s="109"/>
      <c r="E57" s="109"/>
      <c r="F57" s="109"/>
      <c r="G57" s="109"/>
      <c r="H57" s="110">
        <f>H17</f>
        <v>35</v>
      </c>
      <c r="I57" s="110"/>
      <c r="J57" s="110"/>
      <c r="K57" s="111">
        <f>K17</f>
        <v>1879</v>
      </c>
      <c r="L57" s="111"/>
      <c r="M57" s="112" t="str">
        <f t="shared" si="0"/>
        <v>PLW067,PLW237,LH</v>
      </c>
      <c r="N57" s="112"/>
      <c r="O57" s="112"/>
      <c r="P57" s="35">
        <f t="shared" ref="P57:P74" si="2">P17</f>
        <v>0</v>
      </c>
      <c r="R57" s="88"/>
      <c r="S57" s="88"/>
      <c r="T57" s="67"/>
      <c r="V57" s="148"/>
    </row>
    <row r="58" spans="1:22" ht="25.15" customHeight="1" x14ac:dyDescent="0.25">
      <c r="A58" s="32">
        <f t="shared" si="1"/>
        <v>0</v>
      </c>
      <c r="B58" s="109" t="str">
        <f t="shared" si="1"/>
        <v>321334-5828</v>
      </c>
      <c r="C58" s="109"/>
      <c r="D58" s="109"/>
      <c r="E58" s="109"/>
      <c r="F58" s="109"/>
      <c r="G58" s="109"/>
      <c r="H58" s="110">
        <f t="shared" ref="H58:H74" si="3">H18</f>
        <v>28</v>
      </c>
      <c r="I58" s="110"/>
      <c r="J58" s="110"/>
      <c r="K58" s="111">
        <f t="shared" ref="K58:K74" si="4">K18</f>
        <v>1338</v>
      </c>
      <c r="L58" s="111"/>
      <c r="M58" s="112" t="str">
        <f t="shared" si="0"/>
        <v>PLW067,PLW237,LH</v>
      </c>
      <c r="N58" s="112"/>
      <c r="O58" s="112"/>
      <c r="P58" s="35">
        <f t="shared" si="2"/>
        <v>0</v>
      </c>
      <c r="R58" s="88"/>
      <c r="S58" s="88"/>
      <c r="T58" s="67"/>
      <c r="V58" s="148"/>
    </row>
    <row r="59" spans="1:22" ht="25.15" customHeight="1" x14ac:dyDescent="0.25">
      <c r="A59" s="32">
        <f t="shared" si="1"/>
        <v>0</v>
      </c>
      <c r="B59" s="109" t="str">
        <f t="shared" si="1"/>
        <v>311047-5828</v>
      </c>
      <c r="C59" s="109"/>
      <c r="D59" s="109"/>
      <c r="E59" s="109"/>
      <c r="F59" s="109"/>
      <c r="G59" s="109"/>
      <c r="H59" s="110">
        <f t="shared" si="3"/>
        <v>12</v>
      </c>
      <c r="I59" s="110"/>
      <c r="J59" s="110"/>
      <c r="K59" s="111">
        <f t="shared" si="4"/>
        <v>475</v>
      </c>
      <c r="L59" s="111"/>
      <c r="M59" s="112" t="str">
        <f t="shared" si="0"/>
        <v>PLW067,PLW237,LH</v>
      </c>
      <c r="N59" s="112"/>
      <c r="O59" s="112"/>
      <c r="P59" s="35">
        <f t="shared" si="2"/>
        <v>0</v>
      </c>
      <c r="R59" s="88"/>
      <c r="S59" s="88"/>
      <c r="T59" s="67"/>
      <c r="V59" s="147"/>
    </row>
    <row r="60" spans="1:22" ht="25.15" customHeight="1" x14ac:dyDescent="0.25">
      <c r="A60" s="32">
        <f t="shared" si="1"/>
        <v>0</v>
      </c>
      <c r="B60" s="109" t="str">
        <f t="shared" si="1"/>
        <v>323236-5832</v>
      </c>
      <c r="C60" s="109"/>
      <c r="D60" s="109"/>
      <c r="E60" s="109"/>
      <c r="F60" s="109"/>
      <c r="G60" s="109"/>
      <c r="H60" s="110">
        <f t="shared" si="3"/>
        <v>3</v>
      </c>
      <c r="I60" s="110"/>
      <c r="J60" s="110"/>
      <c r="K60" s="111">
        <f t="shared" si="4"/>
        <v>165</v>
      </c>
      <c r="L60" s="111"/>
      <c r="M60" s="112" t="str">
        <f t="shared" si="0"/>
        <v>SW</v>
      </c>
      <c r="N60" s="112"/>
      <c r="O60" s="112"/>
      <c r="P60" s="35">
        <f t="shared" si="2"/>
        <v>0</v>
      </c>
      <c r="R60" s="88"/>
      <c r="S60" s="88"/>
      <c r="T60" s="67"/>
      <c r="V60" s="148"/>
    </row>
    <row r="61" spans="1:22" ht="25.15" customHeight="1" x14ac:dyDescent="0.25">
      <c r="A61" s="32">
        <f t="shared" si="1"/>
        <v>0</v>
      </c>
      <c r="B61" s="109" t="str">
        <f t="shared" si="1"/>
        <v>306972-5828</v>
      </c>
      <c r="C61" s="109"/>
      <c r="D61" s="109"/>
      <c r="E61" s="109"/>
      <c r="F61" s="109"/>
      <c r="G61" s="109"/>
      <c r="H61" s="110">
        <f t="shared" si="3"/>
        <v>23</v>
      </c>
      <c r="I61" s="110"/>
      <c r="J61" s="110"/>
      <c r="K61" s="111">
        <f t="shared" si="4"/>
        <v>1885</v>
      </c>
      <c r="L61" s="111"/>
      <c r="M61" s="112" t="str">
        <f t="shared" si="0"/>
        <v>PL</v>
      </c>
      <c r="N61" s="112"/>
      <c r="O61" s="112"/>
      <c r="P61" s="35">
        <f t="shared" si="2"/>
        <v>0</v>
      </c>
      <c r="R61" s="88"/>
      <c r="S61" s="88"/>
      <c r="T61" s="67"/>
      <c r="V61" s="148"/>
    </row>
    <row r="62" spans="1:22" ht="25.15" customHeight="1" x14ac:dyDescent="0.25">
      <c r="A62" s="32">
        <f t="shared" si="1"/>
        <v>0</v>
      </c>
      <c r="B62" s="109" t="str">
        <f t="shared" si="1"/>
        <v>291816-5832</v>
      </c>
      <c r="C62" s="109"/>
      <c r="D62" s="109"/>
      <c r="E62" s="109"/>
      <c r="F62" s="109"/>
      <c r="G62" s="109"/>
      <c r="H62" s="110">
        <f t="shared" si="3"/>
        <v>2</v>
      </c>
      <c r="I62" s="110"/>
      <c r="J62" s="110"/>
      <c r="K62" s="111">
        <f t="shared" si="4"/>
        <v>74</v>
      </c>
      <c r="L62" s="111"/>
      <c r="M62" s="112" t="str">
        <f t="shared" si="0"/>
        <v>OL</v>
      </c>
      <c r="N62" s="112"/>
      <c r="O62" s="112"/>
      <c r="P62" s="35">
        <f t="shared" si="2"/>
        <v>0</v>
      </c>
      <c r="R62" s="88"/>
      <c r="S62" s="88"/>
      <c r="T62" s="67"/>
    </row>
    <row r="63" spans="1:22" ht="25.15" customHeight="1" x14ac:dyDescent="0.25">
      <c r="A63" s="32">
        <f t="shared" si="1"/>
        <v>0</v>
      </c>
      <c r="B63" s="109" t="str">
        <f t="shared" si="1"/>
        <v>285445-5832</v>
      </c>
      <c r="C63" s="109"/>
      <c r="D63" s="109"/>
      <c r="E63" s="109"/>
      <c r="F63" s="109"/>
      <c r="G63" s="109"/>
      <c r="H63" s="110">
        <f t="shared" si="3"/>
        <v>1</v>
      </c>
      <c r="I63" s="110"/>
      <c r="J63" s="110"/>
      <c r="K63" s="111">
        <f t="shared" si="4"/>
        <v>29</v>
      </c>
      <c r="L63" s="111"/>
      <c r="M63" s="112" t="str">
        <f t="shared" si="0"/>
        <v>OL</v>
      </c>
      <c r="N63" s="112"/>
      <c r="O63" s="112"/>
      <c r="P63" s="35">
        <f t="shared" si="2"/>
        <v>0</v>
      </c>
      <c r="R63" s="88"/>
      <c r="S63" s="88"/>
      <c r="T63" s="67"/>
    </row>
    <row r="64" spans="1:22" ht="25.15" customHeight="1" x14ac:dyDescent="0.25">
      <c r="A64" s="32">
        <f t="shared" si="1"/>
        <v>0</v>
      </c>
      <c r="B64" s="109" t="str">
        <f t="shared" si="1"/>
        <v>307360-5832</v>
      </c>
      <c r="C64" s="109"/>
      <c r="D64" s="109"/>
      <c r="E64" s="109"/>
      <c r="F64" s="109"/>
      <c r="G64" s="109"/>
      <c r="H64" s="110">
        <f t="shared" si="3"/>
        <v>4</v>
      </c>
      <c r="I64" s="110"/>
      <c r="J64" s="110"/>
      <c r="K64" s="111">
        <f t="shared" si="4"/>
        <v>330</v>
      </c>
      <c r="L64" s="111"/>
      <c r="M64" s="112" t="str">
        <f t="shared" si="0"/>
        <v>OL</v>
      </c>
      <c r="N64" s="112"/>
      <c r="O64" s="112"/>
      <c r="P64" s="35">
        <f t="shared" si="2"/>
        <v>0</v>
      </c>
      <c r="R64" s="88"/>
      <c r="S64" s="88"/>
      <c r="T64" s="67"/>
    </row>
    <row r="65" spans="1:20" ht="25.15" customHeight="1" x14ac:dyDescent="0.25">
      <c r="A65" s="32">
        <f t="shared" si="1"/>
        <v>0</v>
      </c>
      <c r="B65" s="109" t="str">
        <f t="shared" si="1"/>
        <v>327483-7952</v>
      </c>
      <c r="C65" s="109"/>
      <c r="D65" s="109"/>
      <c r="E65" s="109"/>
      <c r="F65" s="109"/>
      <c r="G65" s="109"/>
      <c r="H65" s="110">
        <f t="shared" si="3"/>
        <v>15</v>
      </c>
      <c r="I65" s="110"/>
      <c r="J65" s="110"/>
      <c r="K65" s="111">
        <f t="shared" si="4"/>
        <v>747</v>
      </c>
      <c r="L65" s="111"/>
      <c r="M65" s="112" t="str">
        <f t="shared" si="0"/>
        <v>PLW067,PLW237,LH</v>
      </c>
      <c r="N65" s="112"/>
      <c r="O65" s="112"/>
      <c r="P65" s="35">
        <f t="shared" si="2"/>
        <v>0</v>
      </c>
      <c r="R65" s="88"/>
      <c r="S65" s="88"/>
      <c r="T65" s="67"/>
    </row>
    <row r="66" spans="1:20" ht="25.15" customHeight="1" x14ac:dyDescent="0.25">
      <c r="A66" s="32">
        <f t="shared" si="1"/>
        <v>0</v>
      </c>
      <c r="B66" s="109" t="str">
        <f t="shared" si="1"/>
        <v>307361-5832</v>
      </c>
      <c r="C66" s="109"/>
      <c r="D66" s="109"/>
      <c r="E66" s="109"/>
      <c r="F66" s="109"/>
      <c r="G66" s="109"/>
      <c r="H66" s="110">
        <f t="shared" si="3"/>
        <v>3</v>
      </c>
      <c r="I66" s="110"/>
      <c r="J66" s="110"/>
      <c r="K66" s="111">
        <f t="shared" si="4"/>
        <v>220</v>
      </c>
      <c r="L66" s="111"/>
      <c r="M66" s="112" t="str">
        <f t="shared" si="0"/>
        <v>OL</v>
      </c>
      <c r="N66" s="112"/>
      <c r="O66" s="112"/>
      <c r="P66" s="35">
        <f t="shared" si="2"/>
        <v>0</v>
      </c>
      <c r="R66" s="88"/>
      <c r="S66" s="88"/>
      <c r="T66" s="67"/>
    </row>
    <row r="67" spans="1:20" ht="25.15" customHeight="1" x14ac:dyDescent="0.25">
      <c r="A67" s="32">
        <f t="shared" si="1"/>
        <v>0</v>
      </c>
      <c r="B67" s="109" t="str">
        <f t="shared" si="1"/>
        <v>990428-1643</v>
      </c>
      <c r="C67" s="109"/>
      <c r="D67" s="109"/>
      <c r="E67" s="109"/>
      <c r="F67" s="109"/>
      <c r="G67" s="109"/>
      <c r="H67" s="110">
        <f t="shared" si="3"/>
        <v>26</v>
      </c>
      <c r="I67" s="110"/>
      <c r="J67" s="110"/>
      <c r="K67" s="111">
        <f t="shared" si="4"/>
        <v>754</v>
      </c>
      <c r="L67" s="111"/>
      <c r="M67" s="112" t="str">
        <f t="shared" si="0"/>
        <v>PE</v>
      </c>
      <c r="N67" s="112"/>
      <c r="O67" s="112"/>
      <c r="P67" s="35">
        <f t="shared" si="2"/>
        <v>0</v>
      </c>
      <c r="R67" s="88"/>
      <c r="S67" s="88"/>
      <c r="T67" s="67"/>
    </row>
    <row r="68" spans="1:20" ht="25.15" customHeight="1" x14ac:dyDescent="0.25">
      <c r="A68" s="32">
        <f t="shared" si="1"/>
        <v>0</v>
      </c>
      <c r="B68" s="109" t="str">
        <f t="shared" si="1"/>
        <v>307355-5832</v>
      </c>
      <c r="C68" s="109"/>
      <c r="D68" s="109"/>
      <c r="E68" s="109"/>
      <c r="F68" s="109"/>
      <c r="G68" s="109"/>
      <c r="H68" s="110">
        <f t="shared" si="3"/>
        <v>1</v>
      </c>
      <c r="I68" s="110"/>
      <c r="J68" s="110"/>
      <c r="K68" s="111">
        <f t="shared" si="4"/>
        <v>48</v>
      </c>
      <c r="L68" s="111"/>
      <c r="M68" s="112" t="str">
        <f t="shared" si="0"/>
        <v>OL</v>
      </c>
      <c r="N68" s="112"/>
      <c r="O68" s="112"/>
      <c r="P68" s="35">
        <f t="shared" si="2"/>
        <v>0</v>
      </c>
      <c r="R68" s="88"/>
      <c r="S68" s="88"/>
      <c r="T68" s="67"/>
    </row>
    <row r="69" spans="1:20" ht="25.15" customHeight="1" x14ac:dyDescent="0.25">
      <c r="A69" s="32">
        <f t="shared" si="1"/>
        <v>0</v>
      </c>
      <c r="B69" s="109" t="str">
        <f t="shared" si="1"/>
        <v>309643-5832</v>
      </c>
      <c r="C69" s="109"/>
      <c r="D69" s="109"/>
      <c r="E69" s="109"/>
      <c r="F69" s="109"/>
      <c r="G69" s="109"/>
      <c r="H69" s="110">
        <f t="shared" si="3"/>
        <v>23</v>
      </c>
      <c r="I69" s="110"/>
      <c r="J69" s="110"/>
      <c r="K69" s="111">
        <f t="shared" si="4"/>
        <v>1124</v>
      </c>
      <c r="L69" s="111"/>
      <c r="M69" s="112" t="str">
        <f t="shared" si="0"/>
        <v>PLW067,PLW237</v>
      </c>
      <c r="N69" s="112"/>
      <c r="O69" s="112"/>
      <c r="P69" s="35">
        <f t="shared" si="2"/>
        <v>0</v>
      </c>
      <c r="R69" s="88"/>
      <c r="S69" s="88"/>
      <c r="T69" s="67"/>
    </row>
    <row r="70" spans="1:20" ht="25.15" customHeight="1" x14ac:dyDescent="0.25">
      <c r="A70" s="32">
        <f t="shared" si="1"/>
        <v>0</v>
      </c>
      <c r="B70" s="109" t="str">
        <f t="shared" si="1"/>
        <v>325378-5832</v>
      </c>
      <c r="C70" s="109"/>
      <c r="D70" s="109"/>
      <c r="E70" s="109"/>
      <c r="F70" s="109"/>
      <c r="G70" s="109"/>
      <c r="H70" s="110">
        <f t="shared" si="3"/>
        <v>65</v>
      </c>
      <c r="I70" s="110"/>
      <c r="J70" s="110"/>
      <c r="K70" s="111">
        <f t="shared" si="4"/>
        <v>4540</v>
      </c>
      <c r="L70" s="111"/>
      <c r="M70" s="112" t="str">
        <f t="shared" si="0"/>
        <v>PLW067,PLW237,LH</v>
      </c>
      <c r="N70" s="112"/>
      <c r="O70" s="112"/>
      <c r="P70" s="35">
        <f t="shared" si="2"/>
        <v>0</v>
      </c>
      <c r="R70" s="88"/>
      <c r="S70" s="88"/>
      <c r="T70" s="67"/>
    </row>
    <row r="71" spans="1:20" ht="25.15" customHeight="1" x14ac:dyDescent="0.25">
      <c r="A71" s="32">
        <f t="shared" si="1"/>
        <v>0</v>
      </c>
      <c r="B71" s="109">
        <f t="shared" si="1"/>
        <v>0</v>
      </c>
      <c r="C71" s="109"/>
      <c r="D71" s="109"/>
      <c r="E71" s="109"/>
      <c r="F71" s="109"/>
      <c r="G71" s="109"/>
      <c r="H71" s="110">
        <f t="shared" si="3"/>
        <v>0</v>
      </c>
      <c r="I71" s="110"/>
      <c r="J71" s="110"/>
      <c r="K71" s="111">
        <f t="shared" si="4"/>
        <v>0</v>
      </c>
      <c r="L71" s="111"/>
      <c r="M71" s="112">
        <f t="shared" si="0"/>
        <v>0</v>
      </c>
      <c r="N71" s="112"/>
      <c r="O71" s="112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09">
        <f t="shared" si="1"/>
        <v>0</v>
      </c>
      <c r="C72" s="109"/>
      <c r="D72" s="109"/>
      <c r="E72" s="109"/>
      <c r="F72" s="109"/>
      <c r="G72" s="109"/>
      <c r="H72" s="110">
        <f t="shared" si="3"/>
        <v>0</v>
      </c>
      <c r="I72" s="110"/>
      <c r="J72" s="110"/>
      <c r="K72" s="111">
        <f t="shared" si="4"/>
        <v>0</v>
      </c>
      <c r="L72" s="111"/>
      <c r="M72" s="112">
        <f t="shared" si="0"/>
        <v>0</v>
      </c>
      <c r="N72" s="112"/>
      <c r="O72" s="112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09">
        <f t="shared" si="5"/>
        <v>0</v>
      </c>
      <c r="C73" s="109"/>
      <c r="D73" s="109"/>
      <c r="E73" s="109"/>
      <c r="F73" s="109"/>
      <c r="G73" s="109"/>
      <c r="H73" s="110">
        <f t="shared" si="3"/>
        <v>0</v>
      </c>
      <c r="I73" s="110"/>
      <c r="J73" s="110"/>
      <c r="K73" s="111">
        <f t="shared" si="4"/>
        <v>0</v>
      </c>
      <c r="L73" s="111"/>
      <c r="M73" s="112">
        <f t="shared" si="0"/>
        <v>0</v>
      </c>
      <c r="N73" s="112"/>
      <c r="O73" s="112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09">
        <f t="shared" si="5"/>
        <v>0</v>
      </c>
      <c r="C74" s="109"/>
      <c r="D74" s="109"/>
      <c r="E74" s="109"/>
      <c r="F74" s="109"/>
      <c r="G74" s="109"/>
      <c r="H74" s="110">
        <f t="shared" si="3"/>
        <v>0</v>
      </c>
      <c r="I74" s="110"/>
      <c r="J74" s="110"/>
      <c r="K74" s="111">
        <f t="shared" si="4"/>
        <v>0</v>
      </c>
      <c r="L74" s="111"/>
      <c r="M74" s="112">
        <f t="shared" si="0"/>
        <v>0</v>
      </c>
      <c r="N74" s="112"/>
      <c r="O74" s="112"/>
      <c r="P74" s="35">
        <f t="shared" si="2"/>
        <v>0</v>
      </c>
    </row>
    <row r="75" spans="1:20" ht="21.95" customHeight="1" thickBot="1" x14ac:dyDescent="0.3">
      <c r="A75" s="126" t="s">
        <v>17</v>
      </c>
      <c r="B75" s="127"/>
      <c r="C75" s="127"/>
      <c r="D75" s="127"/>
      <c r="E75" s="127"/>
      <c r="F75" s="127"/>
      <c r="G75" s="116"/>
      <c r="H75" s="128">
        <f>SUM(H55:J74)</f>
        <v>283</v>
      </c>
      <c r="I75" s="129"/>
      <c r="J75" s="130"/>
      <c r="K75" s="131">
        <f>SUM(K55:L74)</f>
        <v>15458</v>
      </c>
      <c r="L75" s="132"/>
      <c r="M75" s="133"/>
      <c r="N75" s="134"/>
      <c r="O75" s="135"/>
      <c r="P75" s="19"/>
    </row>
    <row r="77" spans="1:20" ht="31.9" customHeight="1" x14ac:dyDescent="0.25">
      <c r="A77" s="137" t="s">
        <v>22</v>
      </c>
      <c r="B77" s="138"/>
      <c r="C77" s="138"/>
      <c r="D77" s="139" t="str">
        <f>D37</f>
        <v>MD.MANNAN</v>
      </c>
      <c r="E77" s="139"/>
      <c r="F77" s="139"/>
      <c r="G77" s="138" t="s">
        <v>23</v>
      </c>
      <c r="H77" s="138"/>
      <c r="I77" s="138"/>
      <c r="J77" s="138"/>
      <c r="K77" s="138"/>
      <c r="L77" s="138"/>
      <c r="M77" s="140" t="str">
        <f>M37</f>
        <v>01993-155561</v>
      </c>
      <c r="N77" s="140"/>
      <c r="O77" s="140"/>
      <c r="P77" s="141"/>
    </row>
    <row r="78" spans="1:20" ht="31.9" customHeight="1" x14ac:dyDescent="0.25">
      <c r="A78" s="142" t="s">
        <v>24</v>
      </c>
      <c r="B78" s="143"/>
      <c r="C78" s="143"/>
      <c r="D78" s="144">
        <f>D38</f>
        <v>390201</v>
      </c>
      <c r="E78" s="144"/>
      <c r="F78" s="144"/>
      <c r="G78" s="143" t="s">
        <v>25</v>
      </c>
      <c r="H78" s="143"/>
      <c r="I78" s="143"/>
      <c r="J78" s="143"/>
      <c r="K78" s="143"/>
      <c r="L78" s="143"/>
      <c r="M78" s="145" t="str">
        <f>M38</f>
        <v>D.M.TA 19-7671</v>
      </c>
      <c r="N78" s="145"/>
      <c r="O78" s="145"/>
      <c r="P78" s="146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36" t="s">
        <v>18</v>
      </c>
      <c r="B80" s="136"/>
      <c r="C80" s="136"/>
      <c r="D80" s="4"/>
      <c r="E80" s="4"/>
      <c r="F80" s="136" t="s">
        <v>19</v>
      </c>
      <c r="G80" s="136"/>
      <c r="H80" s="36"/>
      <c r="I80" s="36"/>
      <c r="J80" s="36"/>
      <c r="K80" s="4"/>
      <c r="L80" s="136" t="s">
        <v>20</v>
      </c>
      <c r="M80" s="136"/>
      <c r="N80" s="136"/>
      <c r="O80" s="136"/>
      <c r="P80" s="136"/>
    </row>
    <row r="81" spans="1:22" ht="8.25" customHeight="1" x14ac:dyDescent="0.25"/>
    <row r="82" spans="1:22" ht="36.75" customHeight="1" x14ac:dyDescent="0.25">
      <c r="A82" s="37"/>
      <c r="B82" s="37"/>
      <c r="C82" s="37"/>
      <c r="D82" s="38" t="s">
        <v>27</v>
      </c>
      <c r="E82" s="38"/>
      <c r="F82" s="38"/>
      <c r="G82" s="38"/>
      <c r="H82" s="38"/>
      <c r="I82" s="38"/>
      <c r="J82" s="38"/>
      <c r="K82" s="38"/>
      <c r="L82" s="38"/>
      <c r="M82" s="39" t="str">
        <f>M42</f>
        <v>FORM STR 03
REVISION NO 01</v>
      </c>
      <c r="N82" s="39"/>
      <c r="O82" s="39"/>
      <c r="P82" s="39"/>
      <c r="Q82" s="10"/>
    </row>
    <row r="83" spans="1:22" ht="22.15" customHeight="1" x14ac:dyDescent="0.25">
      <c r="A83" s="37"/>
      <c r="B83" s="37"/>
      <c r="C83" s="37"/>
      <c r="D83" s="38"/>
      <c r="E83" s="38"/>
      <c r="F83" s="38"/>
      <c r="G83" s="38"/>
      <c r="H83" s="38"/>
      <c r="I83" s="38"/>
      <c r="J83" s="38"/>
      <c r="K83" s="38"/>
      <c r="L83" s="38"/>
      <c r="M83" s="39"/>
      <c r="N83" s="39"/>
      <c r="O83" s="39"/>
      <c r="P83" s="39"/>
      <c r="Q83" s="10"/>
    </row>
    <row r="84" spans="1:22" ht="17.45" customHeight="1" x14ac:dyDescent="0.25">
      <c r="A84" s="40"/>
      <c r="B84" s="40"/>
      <c r="C84" s="40"/>
      <c r="D84" s="41" t="s">
        <v>21</v>
      </c>
      <c r="E84" s="41"/>
      <c r="F84" s="41"/>
      <c r="G84" s="41"/>
      <c r="H84" s="41"/>
      <c r="I84" s="41"/>
      <c r="J84" s="41"/>
      <c r="K84" s="41"/>
      <c r="L84" s="41"/>
      <c r="M84" s="11"/>
    </row>
    <row r="85" spans="1:22" ht="22.15" customHeight="1" thickBot="1" x14ac:dyDescent="0.35">
      <c r="A85" s="42"/>
      <c r="B85" s="42"/>
      <c r="C85" s="1"/>
      <c r="D85" s="43" t="s">
        <v>91</v>
      </c>
      <c r="E85" s="43"/>
      <c r="F85" s="43"/>
      <c r="G85" s="43"/>
      <c r="H85" s="43"/>
      <c r="I85" s="43"/>
      <c r="J85" s="43"/>
      <c r="K85" s="43"/>
      <c r="L85" s="43"/>
      <c r="M85" s="2"/>
      <c r="N85" s="37"/>
      <c r="O85" s="37"/>
      <c r="P85" s="37"/>
    </row>
    <row r="86" spans="1:22" ht="15.6" customHeight="1" thickBot="1" x14ac:dyDescent="0.35">
      <c r="A86" s="71" t="s">
        <v>9</v>
      </c>
      <c r="B86" s="72"/>
      <c r="C86" s="73" t="str">
        <f>C46</f>
        <v>O540</v>
      </c>
      <c r="D86" s="73"/>
      <c r="E86" s="73"/>
      <c r="F86" s="74"/>
      <c r="G86" s="2"/>
      <c r="H86" s="75" t="s">
        <v>4</v>
      </c>
      <c r="I86" s="76"/>
      <c r="J86" s="76"/>
      <c r="K86" s="8" t="s">
        <v>7</v>
      </c>
      <c r="L86" s="77" t="str">
        <f>L46</f>
        <v>JP 523804</v>
      </c>
      <c r="M86" s="77"/>
      <c r="N86" s="77"/>
      <c r="O86" s="77"/>
      <c r="P86" s="78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52" t="s">
        <v>5</v>
      </c>
      <c r="I87" s="53"/>
      <c r="J87" s="53"/>
      <c r="K87" s="9" t="s">
        <v>7</v>
      </c>
      <c r="L87" s="79">
        <f>L47</f>
        <v>45687</v>
      </c>
      <c r="M87" s="79"/>
      <c r="N87" s="79"/>
      <c r="O87" s="79"/>
      <c r="P87" s="80"/>
      <c r="R87" s="88"/>
      <c r="S87" s="88"/>
      <c r="T87" s="147"/>
      <c r="U87" s="26"/>
      <c r="V87" s="147"/>
    </row>
    <row r="88" spans="1:22" ht="18" customHeight="1" x14ac:dyDescent="0.3">
      <c r="A88" s="46" t="str">
        <f>A48</f>
        <v>Summit Alliance Port Ltd. (SAPL).
Katghar, South Patenga, Chattogram.</v>
      </c>
      <c r="B88" s="47"/>
      <c r="C88" s="47"/>
      <c r="D88" s="47"/>
      <c r="E88" s="47"/>
      <c r="F88" s="48"/>
      <c r="G88" s="2"/>
      <c r="H88" s="52" t="s">
        <v>8</v>
      </c>
      <c r="I88" s="53"/>
      <c r="J88" s="53"/>
      <c r="K88" s="9" t="s">
        <v>7</v>
      </c>
      <c r="L88" s="54" t="str">
        <f>L48</f>
        <v>SEA</v>
      </c>
      <c r="M88" s="54"/>
      <c r="N88" s="54"/>
      <c r="O88" s="54"/>
      <c r="P88" s="55"/>
      <c r="R88" s="88"/>
      <c r="S88" s="88"/>
      <c r="T88" s="148"/>
      <c r="U88" s="26"/>
      <c r="V88" s="148"/>
    </row>
    <row r="89" spans="1:22" ht="17.45" customHeight="1" x14ac:dyDescent="0.3">
      <c r="A89" s="46"/>
      <c r="B89" s="47"/>
      <c r="C89" s="47"/>
      <c r="D89" s="47"/>
      <c r="E89" s="47"/>
      <c r="F89" s="48"/>
      <c r="G89" s="2"/>
      <c r="H89" s="56" t="s">
        <v>6</v>
      </c>
      <c r="I89" s="57"/>
      <c r="J89" s="57"/>
      <c r="K89" s="62" t="s">
        <v>7</v>
      </c>
      <c r="L89" s="65" t="str">
        <f>L49</f>
        <v>M/S. Kabir &amp; Co.
1104DT Road West Madarbari,
Chattogram, Bangladesh.</v>
      </c>
      <c r="M89" s="65"/>
      <c r="N89" s="65"/>
      <c r="O89" s="65"/>
      <c r="P89" s="66"/>
      <c r="R89" s="88"/>
      <c r="S89" s="88"/>
      <c r="T89" s="148"/>
      <c r="U89" s="26"/>
      <c r="V89" s="148"/>
    </row>
    <row r="90" spans="1:22" ht="18" thickBot="1" x14ac:dyDescent="0.35">
      <c r="A90" s="49"/>
      <c r="B90" s="50"/>
      <c r="C90" s="50"/>
      <c r="D90" s="50"/>
      <c r="E90" s="50"/>
      <c r="F90" s="51"/>
      <c r="G90" s="2"/>
      <c r="H90" s="58"/>
      <c r="I90" s="59"/>
      <c r="J90" s="59"/>
      <c r="K90" s="63"/>
      <c r="L90" s="67"/>
      <c r="M90" s="67"/>
      <c r="N90" s="67"/>
      <c r="O90" s="67"/>
      <c r="P90" s="68"/>
      <c r="R90" s="88"/>
      <c r="S90" s="88"/>
      <c r="T90" s="147"/>
      <c r="U90" s="26"/>
      <c r="V90" s="147"/>
    </row>
    <row r="91" spans="1:22" ht="18" customHeight="1" thickBot="1" x14ac:dyDescent="0.35">
      <c r="A91" s="42"/>
      <c r="B91" s="42"/>
      <c r="C91" s="1"/>
      <c r="D91" s="2"/>
      <c r="E91" s="2"/>
      <c r="F91" s="2"/>
      <c r="G91" s="2"/>
      <c r="H91" s="60"/>
      <c r="I91" s="61"/>
      <c r="J91" s="61"/>
      <c r="K91" s="64"/>
      <c r="L91" s="69"/>
      <c r="M91" s="69"/>
      <c r="N91" s="69"/>
      <c r="O91" s="69"/>
      <c r="P91" s="70"/>
      <c r="R91" s="88"/>
      <c r="S91" s="88"/>
      <c r="T91" s="147"/>
      <c r="U91" s="26"/>
      <c r="V91" s="148"/>
    </row>
    <row r="92" spans="1:22" ht="16.149999999999999" customHeight="1" x14ac:dyDescent="0.25">
      <c r="A92" s="103" t="s">
        <v>12</v>
      </c>
      <c r="B92" s="104"/>
      <c r="C92" s="105" t="s">
        <v>0</v>
      </c>
      <c r="D92" s="105"/>
      <c r="E92" s="105"/>
      <c r="F92" s="105"/>
      <c r="G92" s="105"/>
      <c r="H92" s="81" t="s">
        <v>1</v>
      </c>
      <c r="I92" s="82"/>
      <c r="J92" s="82"/>
      <c r="K92" s="82"/>
      <c r="L92" s="83"/>
      <c r="M92" s="84" t="s">
        <v>16</v>
      </c>
      <c r="N92" s="85"/>
      <c r="O92" s="86"/>
      <c r="P92" s="93" t="s">
        <v>3</v>
      </c>
      <c r="R92" s="88"/>
      <c r="S92" s="88"/>
      <c r="T92" s="147"/>
      <c r="U92" s="26"/>
      <c r="V92" s="148"/>
    </row>
    <row r="93" spans="1:22" ht="16.149999999999999" customHeight="1" x14ac:dyDescent="0.25">
      <c r="A93" s="3" t="s">
        <v>13</v>
      </c>
      <c r="B93" s="33">
        <f>B53</f>
        <v>1</v>
      </c>
      <c r="C93" s="96" t="str">
        <f>C53</f>
        <v>Delivery of Readymade Garments</v>
      </c>
      <c r="D93" s="96"/>
      <c r="E93" s="96"/>
      <c r="F93" s="96"/>
      <c r="G93" s="96"/>
      <c r="H93" s="97" t="s">
        <v>2</v>
      </c>
      <c r="I93" s="98"/>
      <c r="J93" s="99"/>
      <c r="K93" s="97" t="s">
        <v>15</v>
      </c>
      <c r="L93" s="99"/>
      <c r="M93" s="87"/>
      <c r="N93" s="88"/>
      <c r="O93" s="89"/>
      <c r="P93" s="94"/>
      <c r="R93" s="88"/>
      <c r="S93" s="88"/>
      <c r="T93" s="147"/>
      <c r="V93" s="147"/>
    </row>
    <row r="94" spans="1:22" ht="16.149999999999999" customHeight="1" thickBot="1" x14ac:dyDescent="0.3">
      <c r="A94" s="113" t="s">
        <v>11</v>
      </c>
      <c r="B94" s="114"/>
      <c r="C94" s="115" t="str">
        <f>C54</f>
        <v>H &amp; M</v>
      </c>
      <c r="D94" s="116"/>
      <c r="E94" s="117" t="s">
        <v>88</v>
      </c>
      <c r="F94" s="118"/>
      <c r="G94" s="114"/>
      <c r="H94" s="100"/>
      <c r="I94" s="101"/>
      <c r="J94" s="102"/>
      <c r="K94" s="100"/>
      <c r="L94" s="102"/>
      <c r="M94" s="90"/>
      <c r="N94" s="91"/>
      <c r="O94" s="92"/>
      <c r="P94" s="95"/>
      <c r="R94" s="88"/>
      <c r="S94" s="88"/>
      <c r="T94" s="147"/>
      <c r="V94" s="148"/>
    </row>
    <row r="95" spans="1:22" ht="25.15" customHeight="1" x14ac:dyDescent="0.25">
      <c r="A95" s="31">
        <f>A55</f>
        <v>0</v>
      </c>
      <c r="B95" s="119" t="str">
        <f>B55</f>
        <v>207671-3932</v>
      </c>
      <c r="C95" s="119"/>
      <c r="D95" s="119"/>
      <c r="E95" s="119"/>
      <c r="F95" s="119"/>
      <c r="G95" s="119"/>
      <c r="H95" s="120">
        <f>H55</f>
        <v>26</v>
      </c>
      <c r="I95" s="121"/>
      <c r="J95" s="122"/>
      <c r="K95" s="123">
        <f>K55</f>
        <v>627</v>
      </c>
      <c r="L95" s="124"/>
      <c r="M95" s="106" t="str">
        <f>M55</f>
        <v>PE</v>
      </c>
      <c r="N95" s="107"/>
      <c r="O95" s="108"/>
      <c r="P95" s="34">
        <f>P55</f>
        <v>0</v>
      </c>
      <c r="R95" s="88"/>
      <c r="S95" s="88"/>
      <c r="T95" s="147"/>
      <c r="V95" s="148"/>
    </row>
    <row r="96" spans="1:22" ht="25.15" customHeight="1" x14ac:dyDescent="0.25">
      <c r="A96" s="32">
        <f>A56</f>
        <v>0</v>
      </c>
      <c r="B96" s="109" t="str">
        <f>B56</f>
        <v>300635-5832</v>
      </c>
      <c r="C96" s="109"/>
      <c r="D96" s="109"/>
      <c r="E96" s="109"/>
      <c r="F96" s="109"/>
      <c r="G96" s="109"/>
      <c r="H96" s="110">
        <f>H56</f>
        <v>16</v>
      </c>
      <c r="I96" s="110"/>
      <c r="J96" s="110"/>
      <c r="K96" s="111">
        <f>K56</f>
        <v>1223</v>
      </c>
      <c r="L96" s="111"/>
      <c r="M96" s="112" t="str">
        <f>M56</f>
        <v>PH</v>
      </c>
      <c r="N96" s="112"/>
      <c r="O96" s="112"/>
      <c r="P96" s="35">
        <f>P56</f>
        <v>0</v>
      </c>
      <c r="R96" s="88"/>
      <c r="S96" s="88"/>
      <c r="T96" s="67"/>
      <c r="V96" s="147"/>
    </row>
    <row r="97" spans="1:22" ht="25.15" customHeight="1" x14ac:dyDescent="0.25">
      <c r="A97" s="32">
        <f t="shared" ref="A97:B112" si="6">A57</f>
        <v>0</v>
      </c>
      <c r="B97" s="109" t="str">
        <f t="shared" si="6"/>
        <v>328562-7952</v>
      </c>
      <c r="C97" s="109"/>
      <c r="D97" s="109"/>
      <c r="E97" s="109"/>
      <c r="F97" s="109"/>
      <c r="G97" s="109"/>
      <c r="H97" s="110">
        <f>H57</f>
        <v>35</v>
      </c>
      <c r="I97" s="110"/>
      <c r="J97" s="110"/>
      <c r="K97" s="111">
        <f>K57</f>
        <v>1879</v>
      </c>
      <c r="L97" s="111"/>
      <c r="M97" s="112" t="str">
        <f t="shared" ref="M97:M114" si="7">M57</f>
        <v>PLW067,PLW237,LH</v>
      </c>
      <c r="N97" s="112"/>
      <c r="O97" s="112"/>
      <c r="P97" s="35">
        <f t="shared" ref="P97:P114" si="8">P57</f>
        <v>0</v>
      </c>
      <c r="R97" s="88"/>
      <c r="S97" s="88"/>
      <c r="T97" s="67"/>
      <c r="V97" s="148"/>
    </row>
    <row r="98" spans="1:22" ht="25.15" customHeight="1" x14ac:dyDescent="0.25">
      <c r="A98" s="32">
        <f t="shared" si="6"/>
        <v>0</v>
      </c>
      <c r="B98" s="109" t="str">
        <f t="shared" si="6"/>
        <v>321334-5828</v>
      </c>
      <c r="C98" s="109"/>
      <c r="D98" s="109"/>
      <c r="E98" s="109"/>
      <c r="F98" s="109"/>
      <c r="G98" s="109"/>
      <c r="H98" s="110">
        <f t="shared" ref="H98:H114" si="9">H58</f>
        <v>28</v>
      </c>
      <c r="I98" s="110"/>
      <c r="J98" s="110"/>
      <c r="K98" s="111">
        <f t="shared" ref="K98:K114" si="10">K58</f>
        <v>1338</v>
      </c>
      <c r="L98" s="111"/>
      <c r="M98" s="112" t="str">
        <f t="shared" si="7"/>
        <v>PLW067,PLW237,LH</v>
      </c>
      <c r="N98" s="112"/>
      <c r="O98" s="112"/>
      <c r="P98" s="35">
        <f t="shared" si="8"/>
        <v>0</v>
      </c>
      <c r="R98" s="88"/>
      <c r="S98" s="88"/>
      <c r="T98" s="67"/>
      <c r="V98" s="148"/>
    </row>
    <row r="99" spans="1:22" ht="25.15" customHeight="1" x14ac:dyDescent="0.25">
      <c r="A99" s="32">
        <f t="shared" si="6"/>
        <v>0</v>
      </c>
      <c r="B99" s="109" t="str">
        <f t="shared" si="6"/>
        <v>311047-5828</v>
      </c>
      <c r="C99" s="109"/>
      <c r="D99" s="109"/>
      <c r="E99" s="109"/>
      <c r="F99" s="109"/>
      <c r="G99" s="109"/>
      <c r="H99" s="110">
        <f t="shared" si="9"/>
        <v>12</v>
      </c>
      <c r="I99" s="110"/>
      <c r="J99" s="110"/>
      <c r="K99" s="111">
        <f t="shared" si="10"/>
        <v>475</v>
      </c>
      <c r="L99" s="111"/>
      <c r="M99" s="112" t="str">
        <f t="shared" si="7"/>
        <v>PLW067,PLW237,LH</v>
      </c>
      <c r="N99" s="112"/>
      <c r="O99" s="112"/>
      <c r="P99" s="35">
        <f t="shared" si="8"/>
        <v>0</v>
      </c>
      <c r="R99" s="88"/>
      <c r="S99" s="88"/>
      <c r="T99" s="67"/>
      <c r="V99" s="147"/>
    </row>
    <row r="100" spans="1:22" ht="25.15" customHeight="1" x14ac:dyDescent="0.25">
      <c r="A100" s="32">
        <f t="shared" si="6"/>
        <v>0</v>
      </c>
      <c r="B100" s="109" t="str">
        <f t="shared" si="6"/>
        <v>323236-5832</v>
      </c>
      <c r="C100" s="109"/>
      <c r="D100" s="109"/>
      <c r="E100" s="109"/>
      <c r="F100" s="109"/>
      <c r="G100" s="109"/>
      <c r="H100" s="110">
        <f t="shared" si="9"/>
        <v>3</v>
      </c>
      <c r="I100" s="110"/>
      <c r="J100" s="110"/>
      <c r="K100" s="111">
        <f t="shared" si="10"/>
        <v>165</v>
      </c>
      <c r="L100" s="111"/>
      <c r="M100" s="112" t="str">
        <f t="shared" si="7"/>
        <v>SW</v>
      </c>
      <c r="N100" s="112"/>
      <c r="O100" s="112"/>
      <c r="P100" s="35">
        <f t="shared" si="8"/>
        <v>0</v>
      </c>
      <c r="R100" s="88"/>
      <c r="S100" s="88"/>
      <c r="T100" s="67"/>
      <c r="V100" s="148"/>
    </row>
    <row r="101" spans="1:22" ht="25.15" customHeight="1" x14ac:dyDescent="0.25">
      <c r="A101" s="32">
        <f t="shared" si="6"/>
        <v>0</v>
      </c>
      <c r="B101" s="109" t="str">
        <f t="shared" si="6"/>
        <v>306972-5828</v>
      </c>
      <c r="C101" s="109"/>
      <c r="D101" s="109"/>
      <c r="E101" s="109"/>
      <c r="F101" s="109"/>
      <c r="G101" s="109"/>
      <c r="H101" s="110">
        <f t="shared" si="9"/>
        <v>23</v>
      </c>
      <c r="I101" s="110"/>
      <c r="J101" s="110"/>
      <c r="K101" s="111">
        <f t="shared" si="10"/>
        <v>1885</v>
      </c>
      <c r="L101" s="111"/>
      <c r="M101" s="112" t="str">
        <f t="shared" si="7"/>
        <v>PL</v>
      </c>
      <c r="N101" s="112"/>
      <c r="O101" s="112"/>
      <c r="P101" s="35">
        <f t="shared" si="8"/>
        <v>0</v>
      </c>
      <c r="R101" s="88"/>
      <c r="S101" s="88"/>
      <c r="T101" s="67"/>
      <c r="V101" s="148"/>
    </row>
    <row r="102" spans="1:22" ht="25.15" customHeight="1" x14ac:dyDescent="0.25">
      <c r="A102" s="32">
        <f t="shared" si="6"/>
        <v>0</v>
      </c>
      <c r="B102" s="109" t="str">
        <f t="shared" si="6"/>
        <v>291816-5832</v>
      </c>
      <c r="C102" s="109"/>
      <c r="D102" s="109"/>
      <c r="E102" s="109"/>
      <c r="F102" s="109"/>
      <c r="G102" s="109"/>
      <c r="H102" s="110">
        <f t="shared" si="9"/>
        <v>2</v>
      </c>
      <c r="I102" s="110"/>
      <c r="J102" s="110"/>
      <c r="K102" s="111">
        <f t="shared" si="10"/>
        <v>74</v>
      </c>
      <c r="L102" s="111"/>
      <c r="M102" s="112" t="str">
        <f t="shared" si="7"/>
        <v>OL</v>
      </c>
      <c r="N102" s="112"/>
      <c r="O102" s="112"/>
      <c r="P102" s="35">
        <f t="shared" si="8"/>
        <v>0</v>
      </c>
      <c r="R102" s="88"/>
      <c r="S102" s="88"/>
      <c r="T102" s="67"/>
    </row>
    <row r="103" spans="1:22" ht="25.15" customHeight="1" x14ac:dyDescent="0.25">
      <c r="A103" s="32">
        <f t="shared" si="6"/>
        <v>0</v>
      </c>
      <c r="B103" s="109" t="str">
        <f t="shared" si="6"/>
        <v>285445-5832</v>
      </c>
      <c r="C103" s="109"/>
      <c r="D103" s="109"/>
      <c r="E103" s="109"/>
      <c r="F103" s="109"/>
      <c r="G103" s="109"/>
      <c r="H103" s="110">
        <f t="shared" si="9"/>
        <v>1</v>
      </c>
      <c r="I103" s="110"/>
      <c r="J103" s="110"/>
      <c r="K103" s="111">
        <f t="shared" si="10"/>
        <v>29</v>
      </c>
      <c r="L103" s="111"/>
      <c r="M103" s="112" t="str">
        <f t="shared" si="7"/>
        <v>OL</v>
      </c>
      <c r="N103" s="112"/>
      <c r="O103" s="112"/>
      <c r="P103" s="35">
        <f t="shared" si="8"/>
        <v>0</v>
      </c>
      <c r="R103" s="88"/>
      <c r="S103" s="88"/>
      <c r="T103" s="67"/>
    </row>
    <row r="104" spans="1:22" ht="25.15" customHeight="1" x14ac:dyDescent="0.25">
      <c r="A104" s="32">
        <f t="shared" si="6"/>
        <v>0</v>
      </c>
      <c r="B104" s="109" t="str">
        <f t="shared" si="6"/>
        <v>307360-5832</v>
      </c>
      <c r="C104" s="109"/>
      <c r="D104" s="109"/>
      <c r="E104" s="109"/>
      <c r="F104" s="109"/>
      <c r="G104" s="109"/>
      <c r="H104" s="110">
        <f t="shared" si="9"/>
        <v>4</v>
      </c>
      <c r="I104" s="110"/>
      <c r="J104" s="110"/>
      <c r="K104" s="111">
        <f t="shared" si="10"/>
        <v>330</v>
      </c>
      <c r="L104" s="111"/>
      <c r="M104" s="112" t="str">
        <f t="shared" si="7"/>
        <v>OL</v>
      </c>
      <c r="N104" s="112"/>
      <c r="O104" s="112"/>
      <c r="P104" s="35">
        <f t="shared" si="8"/>
        <v>0</v>
      </c>
      <c r="R104" s="88"/>
      <c r="S104" s="88"/>
      <c r="T104" s="67"/>
    </row>
    <row r="105" spans="1:22" ht="25.15" customHeight="1" x14ac:dyDescent="0.25">
      <c r="A105" s="32">
        <f t="shared" si="6"/>
        <v>0</v>
      </c>
      <c r="B105" s="109" t="str">
        <f t="shared" si="6"/>
        <v>327483-7952</v>
      </c>
      <c r="C105" s="109"/>
      <c r="D105" s="109"/>
      <c r="E105" s="109"/>
      <c r="F105" s="109"/>
      <c r="G105" s="109"/>
      <c r="H105" s="110">
        <f t="shared" si="9"/>
        <v>15</v>
      </c>
      <c r="I105" s="110"/>
      <c r="J105" s="110"/>
      <c r="K105" s="111">
        <f t="shared" si="10"/>
        <v>747</v>
      </c>
      <c r="L105" s="111"/>
      <c r="M105" s="112" t="str">
        <f t="shared" si="7"/>
        <v>PLW067,PLW237,LH</v>
      </c>
      <c r="N105" s="112"/>
      <c r="O105" s="112"/>
      <c r="P105" s="35">
        <f t="shared" si="8"/>
        <v>0</v>
      </c>
      <c r="R105" s="88"/>
      <c r="S105" s="88"/>
      <c r="T105" s="67"/>
    </row>
    <row r="106" spans="1:22" ht="25.15" customHeight="1" x14ac:dyDescent="0.25">
      <c r="A106" s="32">
        <f t="shared" si="6"/>
        <v>0</v>
      </c>
      <c r="B106" s="109" t="str">
        <f t="shared" si="6"/>
        <v>307361-5832</v>
      </c>
      <c r="C106" s="109"/>
      <c r="D106" s="109"/>
      <c r="E106" s="109"/>
      <c r="F106" s="109"/>
      <c r="G106" s="109"/>
      <c r="H106" s="110">
        <f t="shared" si="9"/>
        <v>3</v>
      </c>
      <c r="I106" s="110"/>
      <c r="J106" s="110"/>
      <c r="K106" s="111">
        <f t="shared" si="10"/>
        <v>220</v>
      </c>
      <c r="L106" s="111"/>
      <c r="M106" s="112" t="str">
        <f t="shared" si="7"/>
        <v>OL</v>
      </c>
      <c r="N106" s="112"/>
      <c r="O106" s="112"/>
      <c r="P106" s="35">
        <f t="shared" si="8"/>
        <v>0</v>
      </c>
      <c r="R106" s="88"/>
      <c r="S106" s="88"/>
      <c r="T106" s="67"/>
    </row>
    <row r="107" spans="1:22" ht="25.15" customHeight="1" x14ac:dyDescent="0.25">
      <c r="A107" s="32">
        <f t="shared" si="6"/>
        <v>0</v>
      </c>
      <c r="B107" s="109" t="str">
        <f t="shared" si="6"/>
        <v>990428-1643</v>
      </c>
      <c r="C107" s="109"/>
      <c r="D107" s="109"/>
      <c r="E107" s="109"/>
      <c r="F107" s="109"/>
      <c r="G107" s="109"/>
      <c r="H107" s="110">
        <f t="shared" si="9"/>
        <v>26</v>
      </c>
      <c r="I107" s="110"/>
      <c r="J107" s="110"/>
      <c r="K107" s="111">
        <f t="shared" si="10"/>
        <v>754</v>
      </c>
      <c r="L107" s="111"/>
      <c r="M107" s="112" t="str">
        <f t="shared" si="7"/>
        <v>PE</v>
      </c>
      <c r="N107" s="112"/>
      <c r="O107" s="112"/>
      <c r="P107" s="35">
        <f t="shared" si="8"/>
        <v>0</v>
      </c>
      <c r="R107" s="88"/>
      <c r="S107" s="88"/>
      <c r="T107" s="67"/>
    </row>
    <row r="108" spans="1:22" ht="25.15" customHeight="1" x14ac:dyDescent="0.25">
      <c r="A108" s="32">
        <f t="shared" si="6"/>
        <v>0</v>
      </c>
      <c r="B108" s="109" t="str">
        <f t="shared" si="6"/>
        <v>307355-5832</v>
      </c>
      <c r="C108" s="109"/>
      <c r="D108" s="109"/>
      <c r="E108" s="109"/>
      <c r="F108" s="109"/>
      <c r="G108" s="109"/>
      <c r="H108" s="110">
        <f t="shared" si="9"/>
        <v>1</v>
      </c>
      <c r="I108" s="110"/>
      <c r="J108" s="110"/>
      <c r="K108" s="111">
        <f t="shared" si="10"/>
        <v>48</v>
      </c>
      <c r="L108" s="111"/>
      <c r="M108" s="112" t="str">
        <f t="shared" si="7"/>
        <v>OL</v>
      </c>
      <c r="N108" s="112"/>
      <c r="O108" s="112"/>
      <c r="P108" s="35">
        <f t="shared" si="8"/>
        <v>0</v>
      </c>
      <c r="R108" s="88"/>
      <c r="S108" s="88"/>
      <c r="T108" s="67"/>
    </row>
    <row r="109" spans="1:22" ht="25.15" customHeight="1" x14ac:dyDescent="0.25">
      <c r="A109" s="32">
        <f t="shared" si="6"/>
        <v>0</v>
      </c>
      <c r="B109" s="109" t="str">
        <f t="shared" si="6"/>
        <v>309643-5832</v>
      </c>
      <c r="C109" s="109"/>
      <c r="D109" s="109"/>
      <c r="E109" s="109"/>
      <c r="F109" s="109"/>
      <c r="G109" s="109"/>
      <c r="H109" s="110">
        <f t="shared" si="9"/>
        <v>23</v>
      </c>
      <c r="I109" s="110"/>
      <c r="J109" s="110"/>
      <c r="K109" s="111">
        <f t="shared" si="10"/>
        <v>1124</v>
      </c>
      <c r="L109" s="111"/>
      <c r="M109" s="112" t="str">
        <f t="shared" si="7"/>
        <v>PLW067,PLW237</v>
      </c>
      <c r="N109" s="112"/>
      <c r="O109" s="112"/>
      <c r="P109" s="35">
        <f t="shared" si="8"/>
        <v>0</v>
      </c>
      <c r="R109" s="88"/>
      <c r="S109" s="88"/>
      <c r="T109" s="67"/>
    </row>
    <row r="110" spans="1:22" ht="25.15" customHeight="1" x14ac:dyDescent="0.25">
      <c r="A110" s="32">
        <f t="shared" si="6"/>
        <v>0</v>
      </c>
      <c r="B110" s="109" t="str">
        <f t="shared" si="6"/>
        <v>325378-5832</v>
      </c>
      <c r="C110" s="109"/>
      <c r="D110" s="109"/>
      <c r="E110" s="109"/>
      <c r="F110" s="109"/>
      <c r="G110" s="109"/>
      <c r="H110" s="110">
        <f t="shared" si="9"/>
        <v>65</v>
      </c>
      <c r="I110" s="110"/>
      <c r="J110" s="110"/>
      <c r="K110" s="111">
        <f t="shared" si="10"/>
        <v>4540</v>
      </c>
      <c r="L110" s="111"/>
      <c r="M110" s="112" t="str">
        <f t="shared" si="7"/>
        <v>PLW067,PLW237,LH</v>
      </c>
      <c r="N110" s="112"/>
      <c r="O110" s="112"/>
      <c r="P110" s="35">
        <f t="shared" si="8"/>
        <v>0</v>
      </c>
      <c r="R110" s="88"/>
      <c r="S110" s="88"/>
      <c r="T110" s="67"/>
    </row>
    <row r="111" spans="1:22" ht="25.15" customHeight="1" x14ac:dyDescent="0.25">
      <c r="A111" s="32">
        <f t="shared" si="6"/>
        <v>0</v>
      </c>
      <c r="B111" s="109">
        <f t="shared" si="6"/>
        <v>0</v>
      </c>
      <c r="C111" s="109"/>
      <c r="D111" s="109"/>
      <c r="E111" s="109"/>
      <c r="F111" s="109"/>
      <c r="G111" s="109"/>
      <c r="H111" s="110">
        <f t="shared" si="9"/>
        <v>0</v>
      </c>
      <c r="I111" s="110"/>
      <c r="J111" s="110"/>
      <c r="K111" s="111">
        <f t="shared" si="10"/>
        <v>0</v>
      </c>
      <c r="L111" s="111"/>
      <c r="M111" s="112">
        <f t="shared" si="7"/>
        <v>0</v>
      </c>
      <c r="N111" s="112"/>
      <c r="O111" s="112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09">
        <f t="shared" si="6"/>
        <v>0</v>
      </c>
      <c r="C112" s="109"/>
      <c r="D112" s="109"/>
      <c r="E112" s="109"/>
      <c r="F112" s="109"/>
      <c r="G112" s="109"/>
      <c r="H112" s="110">
        <f t="shared" si="9"/>
        <v>0</v>
      </c>
      <c r="I112" s="110"/>
      <c r="J112" s="110"/>
      <c r="K112" s="111">
        <f t="shared" si="10"/>
        <v>0</v>
      </c>
      <c r="L112" s="111"/>
      <c r="M112" s="112">
        <f t="shared" si="7"/>
        <v>0</v>
      </c>
      <c r="N112" s="112"/>
      <c r="O112" s="112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09">
        <f t="shared" si="11"/>
        <v>0</v>
      </c>
      <c r="C113" s="109"/>
      <c r="D113" s="109"/>
      <c r="E113" s="109"/>
      <c r="F113" s="109"/>
      <c r="G113" s="109"/>
      <c r="H113" s="110">
        <f t="shared" si="9"/>
        <v>0</v>
      </c>
      <c r="I113" s="110"/>
      <c r="J113" s="110"/>
      <c r="K113" s="111">
        <f t="shared" si="10"/>
        <v>0</v>
      </c>
      <c r="L113" s="111"/>
      <c r="M113" s="112">
        <f t="shared" si="7"/>
        <v>0</v>
      </c>
      <c r="N113" s="112"/>
      <c r="O113" s="112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09">
        <f t="shared" si="11"/>
        <v>0</v>
      </c>
      <c r="C114" s="109"/>
      <c r="D114" s="109"/>
      <c r="E114" s="109"/>
      <c r="F114" s="109"/>
      <c r="G114" s="109"/>
      <c r="H114" s="110">
        <f t="shared" si="9"/>
        <v>0</v>
      </c>
      <c r="I114" s="110"/>
      <c r="J114" s="110"/>
      <c r="K114" s="111">
        <f t="shared" si="10"/>
        <v>0</v>
      </c>
      <c r="L114" s="111"/>
      <c r="M114" s="112">
        <f t="shared" si="7"/>
        <v>0</v>
      </c>
      <c r="N114" s="112"/>
      <c r="O114" s="112"/>
      <c r="P114" s="35">
        <f t="shared" si="8"/>
        <v>0</v>
      </c>
    </row>
    <row r="115" spans="1:22" ht="21.95" customHeight="1" thickBot="1" x14ac:dyDescent="0.3">
      <c r="A115" s="126" t="s">
        <v>17</v>
      </c>
      <c r="B115" s="127"/>
      <c r="C115" s="127"/>
      <c r="D115" s="127"/>
      <c r="E115" s="127"/>
      <c r="F115" s="127"/>
      <c r="G115" s="116"/>
      <c r="H115" s="128">
        <f>SUM(H95:J114)</f>
        <v>283</v>
      </c>
      <c r="I115" s="129"/>
      <c r="J115" s="130"/>
      <c r="K115" s="131">
        <f>SUM(K95:L114)</f>
        <v>15458</v>
      </c>
      <c r="L115" s="132"/>
      <c r="M115" s="133"/>
      <c r="N115" s="134"/>
      <c r="O115" s="135"/>
      <c r="P115" s="19"/>
    </row>
    <row r="117" spans="1:22" ht="31.9" customHeight="1" x14ac:dyDescent="0.25">
      <c r="A117" s="137" t="s">
        <v>22</v>
      </c>
      <c r="B117" s="138"/>
      <c r="C117" s="138"/>
      <c r="D117" s="139" t="str">
        <f>D77</f>
        <v>MD.MANNAN</v>
      </c>
      <c r="E117" s="139"/>
      <c r="F117" s="139"/>
      <c r="G117" s="138" t="s">
        <v>23</v>
      </c>
      <c r="H117" s="138"/>
      <c r="I117" s="138"/>
      <c r="J117" s="138"/>
      <c r="K117" s="138"/>
      <c r="L117" s="138"/>
      <c r="M117" s="140" t="str">
        <f>M77</f>
        <v>01993-155561</v>
      </c>
      <c r="N117" s="140"/>
      <c r="O117" s="140"/>
      <c r="P117" s="141"/>
    </row>
    <row r="118" spans="1:22" ht="31.9" customHeight="1" x14ac:dyDescent="0.25">
      <c r="A118" s="142" t="s">
        <v>24</v>
      </c>
      <c r="B118" s="143"/>
      <c r="C118" s="143"/>
      <c r="D118" s="144">
        <f>D78</f>
        <v>390201</v>
      </c>
      <c r="E118" s="144"/>
      <c r="F118" s="144"/>
      <c r="G118" s="143" t="s">
        <v>25</v>
      </c>
      <c r="H118" s="143"/>
      <c r="I118" s="143"/>
      <c r="J118" s="143"/>
      <c r="K118" s="143"/>
      <c r="L118" s="143"/>
      <c r="M118" s="145" t="str">
        <f>M78</f>
        <v>D.M.TA 19-7671</v>
      </c>
      <c r="N118" s="145"/>
      <c r="O118" s="145"/>
      <c r="P118" s="146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36" t="s">
        <v>18</v>
      </c>
      <c r="B120" s="136"/>
      <c r="C120" s="136"/>
      <c r="D120" s="4"/>
      <c r="E120" s="4"/>
      <c r="F120" s="136" t="s">
        <v>19</v>
      </c>
      <c r="G120" s="136"/>
      <c r="H120" s="36"/>
      <c r="I120" s="36"/>
      <c r="J120" s="36"/>
      <c r="K120" s="4"/>
      <c r="L120" s="136" t="s">
        <v>20</v>
      </c>
      <c r="M120" s="136"/>
      <c r="N120" s="136"/>
      <c r="O120" s="136"/>
      <c r="P120" s="136"/>
    </row>
    <row r="121" spans="1:22" ht="8.25" customHeight="1" x14ac:dyDescent="0.25"/>
    <row r="122" spans="1:22" ht="36.75" customHeight="1" x14ac:dyDescent="0.25">
      <c r="A122" s="37"/>
      <c r="B122" s="37"/>
      <c r="C122" s="37"/>
      <c r="D122" s="38" t="s">
        <v>27</v>
      </c>
      <c r="E122" s="38"/>
      <c r="F122" s="38"/>
      <c r="G122" s="38"/>
      <c r="H122" s="38"/>
      <c r="I122" s="38"/>
      <c r="J122" s="38"/>
      <c r="K122" s="38"/>
      <c r="L122" s="38"/>
      <c r="M122" s="39" t="str">
        <f>M82</f>
        <v>FORM STR 03
REVISION NO 01</v>
      </c>
      <c r="N122" s="39"/>
      <c r="O122" s="39"/>
      <c r="P122" s="39"/>
      <c r="Q122" s="10"/>
    </row>
    <row r="123" spans="1:22" ht="22.15" customHeight="1" x14ac:dyDescent="0.25">
      <c r="A123" s="37"/>
      <c r="B123" s="37"/>
      <c r="C123" s="37"/>
      <c r="D123" s="38"/>
      <c r="E123" s="38"/>
      <c r="F123" s="38"/>
      <c r="G123" s="38"/>
      <c r="H123" s="38"/>
      <c r="I123" s="38"/>
      <c r="J123" s="38"/>
      <c r="K123" s="38"/>
      <c r="L123" s="38"/>
      <c r="M123" s="39"/>
      <c r="N123" s="39"/>
      <c r="O123" s="39"/>
      <c r="P123" s="39"/>
      <c r="Q123" s="10"/>
    </row>
    <row r="124" spans="1:22" ht="17.45" customHeight="1" x14ac:dyDescent="0.25">
      <c r="A124" s="40"/>
      <c r="B124" s="40"/>
      <c r="C124" s="40"/>
      <c r="D124" s="41" t="s">
        <v>21</v>
      </c>
      <c r="E124" s="41"/>
      <c r="F124" s="41"/>
      <c r="G124" s="41"/>
      <c r="H124" s="41"/>
      <c r="I124" s="41"/>
      <c r="J124" s="41"/>
      <c r="K124" s="41"/>
      <c r="L124" s="41"/>
      <c r="M124" s="11"/>
    </row>
    <row r="125" spans="1:22" ht="22.15" customHeight="1" thickBot="1" x14ac:dyDescent="0.35">
      <c r="A125" s="42"/>
      <c r="B125" s="42"/>
      <c r="C125" s="1"/>
      <c r="D125" s="43" t="s">
        <v>92</v>
      </c>
      <c r="E125" s="43"/>
      <c r="F125" s="43"/>
      <c r="G125" s="43"/>
      <c r="H125" s="43"/>
      <c r="I125" s="43"/>
      <c r="J125" s="43"/>
      <c r="K125" s="43"/>
      <c r="L125" s="43"/>
      <c r="M125" s="2"/>
      <c r="N125" s="37"/>
      <c r="O125" s="37"/>
      <c r="P125" s="37"/>
    </row>
    <row r="126" spans="1:22" ht="15.6" customHeight="1" thickBot="1" x14ac:dyDescent="0.35">
      <c r="A126" s="71" t="s">
        <v>9</v>
      </c>
      <c r="B126" s="72"/>
      <c r="C126" s="73" t="str">
        <f>C86</f>
        <v>O540</v>
      </c>
      <c r="D126" s="73"/>
      <c r="E126" s="73"/>
      <c r="F126" s="74"/>
      <c r="G126" s="2"/>
      <c r="H126" s="75" t="s">
        <v>4</v>
      </c>
      <c r="I126" s="76"/>
      <c r="J126" s="76"/>
      <c r="K126" s="8" t="s">
        <v>7</v>
      </c>
      <c r="L126" s="77" t="str">
        <f>L86</f>
        <v>JP 523804</v>
      </c>
      <c r="M126" s="77"/>
      <c r="N126" s="77"/>
      <c r="O126" s="77"/>
      <c r="P126" s="78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52" t="s">
        <v>5</v>
      </c>
      <c r="I127" s="53"/>
      <c r="J127" s="53"/>
      <c r="K127" s="9" t="s">
        <v>7</v>
      </c>
      <c r="L127" s="79">
        <f>L87</f>
        <v>45687</v>
      </c>
      <c r="M127" s="79"/>
      <c r="N127" s="79"/>
      <c r="O127" s="79"/>
      <c r="P127" s="80"/>
      <c r="R127" s="88"/>
      <c r="S127" s="88"/>
      <c r="T127" s="147"/>
      <c r="U127" s="26"/>
      <c r="V127" s="147"/>
    </row>
    <row r="128" spans="1:22" ht="18" customHeight="1" x14ac:dyDescent="0.3">
      <c r="A128" s="46" t="str">
        <f>A88</f>
        <v>Summit Alliance Port Ltd. (SAPL).
Katghar, South Patenga, Chattogram.</v>
      </c>
      <c r="B128" s="47"/>
      <c r="C128" s="47"/>
      <c r="D128" s="47"/>
      <c r="E128" s="47"/>
      <c r="F128" s="48"/>
      <c r="G128" s="2"/>
      <c r="H128" s="52" t="s">
        <v>8</v>
      </c>
      <c r="I128" s="53"/>
      <c r="J128" s="53"/>
      <c r="K128" s="9" t="s">
        <v>7</v>
      </c>
      <c r="L128" s="54" t="str">
        <f>L88</f>
        <v>SEA</v>
      </c>
      <c r="M128" s="54"/>
      <c r="N128" s="54"/>
      <c r="O128" s="54"/>
      <c r="P128" s="55"/>
      <c r="R128" s="88"/>
      <c r="S128" s="88"/>
      <c r="T128" s="148"/>
      <c r="U128" s="26"/>
      <c r="V128" s="148"/>
    </row>
    <row r="129" spans="1:22" ht="17.25" x14ac:dyDescent="0.3">
      <c r="A129" s="46"/>
      <c r="B129" s="47"/>
      <c r="C129" s="47"/>
      <c r="D129" s="47"/>
      <c r="E129" s="47"/>
      <c r="F129" s="48"/>
      <c r="G129" s="2"/>
      <c r="H129" s="56" t="s">
        <v>6</v>
      </c>
      <c r="I129" s="57"/>
      <c r="J129" s="57"/>
      <c r="K129" s="62" t="s">
        <v>7</v>
      </c>
      <c r="L129" s="65" t="str">
        <f>L89</f>
        <v>M/S. Kabir &amp; Co.
1104DT Road West Madarbari,
Chattogram, Bangladesh.</v>
      </c>
      <c r="M129" s="65"/>
      <c r="N129" s="65"/>
      <c r="O129" s="65"/>
      <c r="P129" s="66"/>
      <c r="R129" s="88"/>
      <c r="S129" s="88"/>
      <c r="T129" s="148"/>
      <c r="U129" s="26"/>
      <c r="V129" s="148"/>
    </row>
    <row r="130" spans="1:22" ht="18" thickBot="1" x14ac:dyDescent="0.35">
      <c r="A130" s="49"/>
      <c r="B130" s="50"/>
      <c r="C130" s="50"/>
      <c r="D130" s="50"/>
      <c r="E130" s="50"/>
      <c r="F130" s="51"/>
      <c r="G130" s="2"/>
      <c r="H130" s="58"/>
      <c r="I130" s="59"/>
      <c r="J130" s="59"/>
      <c r="K130" s="63"/>
      <c r="L130" s="67"/>
      <c r="M130" s="67"/>
      <c r="N130" s="67"/>
      <c r="O130" s="67"/>
      <c r="P130" s="68"/>
      <c r="R130" s="88"/>
      <c r="S130" s="88"/>
      <c r="T130" s="147"/>
      <c r="U130" s="26"/>
      <c r="V130" s="147"/>
    </row>
    <row r="131" spans="1:22" ht="18" customHeight="1" thickBot="1" x14ac:dyDescent="0.35">
      <c r="A131" s="42"/>
      <c r="B131" s="42"/>
      <c r="C131" s="1"/>
      <c r="D131" s="2"/>
      <c r="E131" s="2"/>
      <c r="F131" s="2"/>
      <c r="G131" s="2"/>
      <c r="H131" s="60"/>
      <c r="I131" s="61"/>
      <c r="J131" s="61"/>
      <c r="K131" s="64"/>
      <c r="L131" s="69"/>
      <c r="M131" s="69"/>
      <c r="N131" s="69"/>
      <c r="O131" s="69"/>
      <c r="P131" s="70"/>
      <c r="R131" s="88"/>
      <c r="S131" s="88"/>
      <c r="T131" s="147"/>
      <c r="U131" s="26"/>
      <c r="V131" s="148"/>
    </row>
    <row r="132" spans="1:22" ht="16.149999999999999" customHeight="1" x14ac:dyDescent="0.25">
      <c r="A132" s="103" t="s">
        <v>12</v>
      </c>
      <c r="B132" s="104"/>
      <c r="C132" s="105" t="s">
        <v>0</v>
      </c>
      <c r="D132" s="105"/>
      <c r="E132" s="105"/>
      <c r="F132" s="105"/>
      <c r="G132" s="105"/>
      <c r="H132" s="81" t="s">
        <v>1</v>
      </c>
      <c r="I132" s="82"/>
      <c r="J132" s="82"/>
      <c r="K132" s="82"/>
      <c r="L132" s="83"/>
      <c r="M132" s="84" t="s">
        <v>16</v>
      </c>
      <c r="N132" s="85"/>
      <c r="O132" s="86"/>
      <c r="P132" s="149" t="s">
        <v>3</v>
      </c>
      <c r="R132" s="88"/>
      <c r="S132" s="88"/>
      <c r="T132" s="147"/>
      <c r="U132" s="26"/>
      <c r="V132" s="148"/>
    </row>
    <row r="133" spans="1:22" ht="16.149999999999999" customHeight="1" x14ac:dyDescent="0.25">
      <c r="A133" s="3" t="s">
        <v>13</v>
      </c>
      <c r="B133" s="33">
        <f>B93</f>
        <v>1</v>
      </c>
      <c r="C133" s="96" t="str">
        <f>C93</f>
        <v>Delivery of Readymade Garments</v>
      </c>
      <c r="D133" s="96"/>
      <c r="E133" s="96"/>
      <c r="F133" s="96"/>
      <c r="G133" s="96"/>
      <c r="H133" s="165" t="s">
        <v>2</v>
      </c>
      <c r="I133" s="166"/>
      <c r="J133" s="167"/>
      <c r="K133" s="165" t="s">
        <v>15</v>
      </c>
      <c r="L133" s="167"/>
      <c r="M133" s="87"/>
      <c r="N133" s="88"/>
      <c r="O133" s="89"/>
      <c r="P133" s="150"/>
      <c r="R133" s="88"/>
      <c r="S133" s="88"/>
      <c r="T133" s="147"/>
      <c r="V133" s="147"/>
    </row>
    <row r="134" spans="1:22" ht="16.149999999999999" customHeight="1" thickBot="1" x14ac:dyDescent="0.3">
      <c r="A134" s="113" t="s">
        <v>11</v>
      </c>
      <c r="B134" s="114"/>
      <c r="C134" s="115" t="str">
        <f>C94</f>
        <v>H &amp; M</v>
      </c>
      <c r="D134" s="116"/>
      <c r="E134" s="117" t="s">
        <v>88</v>
      </c>
      <c r="F134" s="118"/>
      <c r="G134" s="114"/>
      <c r="H134" s="100"/>
      <c r="I134" s="101"/>
      <c r="J134" s="102"/>
      <c r="K134" s="100"/>
      <c r="L134" s="102"/>
      <c r="M134" s="90"/>
      <c r="N134" s="91"/>
      <c r="O134" s="92"/>
      <c r="P134" s="151"/>
      <c r="R134" s="88"/>
      <c r="S134" s="88"/>
      <c r="T134" s="147"/>
      <c r="V134" s="148"/>
    </row>
    <row r="135" spans="1:22" ht="25.15" customHeight="1" x14ac:dyDescent="0.25">
      <c r="A135" s="31">
        <f>A95</f>
        <v>0</v>
      </c>
      <c r="B135" s="119" t="str">
        <f>B95</f>
        <v>207671-3932</v>
      </c>
      <c r="C135" s="119"/>
      <c r="D135" s="119"/>
      <c r="E135" s="119"/>
      <c r="F135" s="119"/>
      <c r="G135" s="119"/>
      <c r="H135" s="160">
        <f>H95</f>
        <v>26</v>
      </c>
      <c r="I135" s="161"/>
      <c r="J135" s="162"/>
      <c r="K135" s="163">
        <f>K95</f>
        <v>627</v>
      </c>
      <c r="L135" s="164"/>
      <c r="M135" s="106" t="str">
        <f>M95</f>
        <v>PE</v>
      </c>
      <c r="N135" s="107"/>
      <c r="O135" s="108"/>
      <c r="P135" s="34">
        <f>P95</f>
        <v>0</v>
      </c>
      <c r="R135" s="88"/>
      <c r="S135" s="88"/>
      <c r="T135" s="147"/>
      <c r="V135" s="148"/>
    </row>
    <row r="136" spans="1:22" ht="25.15" customHeight="1" x14ac:dyDescent="0.25">
      <c r="A136" s="32">
        <f>A96</f>
        <v>0</v>
      </c>
      <c r="B136" s="109" t="str">
        <f>B96</f>
        <v>300635-5832</v>
      </c>
      <c r="C136" s="109"/>
      <c r="D136" s="109"/>
      <c r="E136" s="109"/>
      <c r="F136" s="109"/>
      <c r="G136" s="109"/>
      <c r="H136" s="152">
        <f>H96</f>
        <v>16</v>
      </c>
      <c r="I136" s="153"/>
      <c r="J136" s="154"/>
      <c r="K136" s="155">
        <f>K96</f>
        <v>1223</v>
      </c>
      <c r="L136" s="156"/>
      <c r="M136" s="157" t="str">
        <f>M96</f>
        <v>PH</v>
      </c>
      <c r="N136" s="158"/>
      <c r="O136" s="159"/>
      <c r="P136" s="35">
        <f>P96</f>
        <v>0</v>
      </c>
      <c r="R136" s="88"/>
      <c r="S136" s="88"/>
      <c r="T136" s="67"/>
      <c r="V136" s="147"/>
    </row>
    <row r="137" spans="1:22" ht="25.15" customHeight="1" x14ac:dyDescent="0.25">
      <c r="A137" s="32">
        <f t="shared" ref="A137:B152" si="12">A97</f>
        <v>0</v>
      </c>
      <c r="B137" s="109" t="str">
        <f t="shared" si="12"/>
        <v>328562-7952</v>
      </c>
      <c r="C137" s="109"/>
      <c r="D137" s="109"/>
      <c r="E137" s="109"/>
      <c r="F137" s="109"/>
      <c r="G137" s="109"/>
      <c r="H137" s="152">
        <f>H97</f>
        <v>35</v>
      </c>
      <c r="I137" s="153"/>
      <c r="J137" s="154"/>
      <c r="K137" s="155">
        <f>K97</f>
        <v>1879</v>
      </c>
      <c r="L137" s="156"/>
      <c r="M137" s="157" t="str">
        <f t="shared" ref="M137:M154" si="13">M97</f>
        <v>PLW067,PLW237,LH</v>
      </c>
      <c r="N137" s="158"/>
      <c r="O137" s="159"/>
      <c r="P137" s="35">
        <f t="shared" ref="P137:P154" si="14">P97</f>
        <v>0</v>
      </c>
      <c r="R137" s="88"/>
      <c r="S137" s="88"/>
      <c r="T137" s="67"/>
      <c r="V137" s="148"/>
    </row>
    <row r="138" spans="1:22" ht="25.15" customHeight="1" x14ac:dyDescent="0.25">
      <c r="A138" s="32">
        <f t="shared" si="12"/>
        <v>0</v>
      </c>
      <c r="B138" s="109" t="str">
        <f t="shared" si="12"/>
        <v>321334-5828</v>
      </c>
      <c r="C138" s="109"/>
      <c r="D138" s="109"/>
      <c r="E138" s="109"/>
      <c r="F138" s="109"/>
      <c r="G138" s="109"/>
      <c r="H138" s="152">
        <f t="shared" ref="H138:H154" si="15">H98</f>
        <v>28</v>
      </c>
      <c r="I138" s="153"/>
      <c r="J138" s="154"/>
      <c r="K138" s="155">
        <f t="shared" ref="K138:K154" si="16">K98</f>
        <v>1338</v>
      </c>
      <c r="L138" s="156"/>
      <c r="M138" s="157" t="str">
        <f t="shared" si="13"/>
        <v>PLW067,PLW237,LH</v>
      </c>
      <c r="N138" s="158"/>
      <c r="O138" s="159"/>
      <c r="P138" s="35">
        <f t="shared" si="14"/>
        <v>0</v>
      </c>
      <c r="R138" s="88"/>
      <c r="S138" s="88"/>
      <c r="T138" s="67"/>
      <c r="V138" s="148"/>
    </row>
    <row r="139" spans="1:22" ht="25.15" customHeight="1" x14ac:dyDescent="0.25">
      <c r="A139" s="32">
        <f t="shared" si="12"/>
        <v>0</v>
      </c>
      <c r="B139" s="109" t="str">
        <f t="shared" si="12"/>
        <v>311047-5828</v>
      </c>
      <c r="C139" s="109"/>
      <c r="D139" s="109"/>
      <c r="E139" s="109"/>
      <c r="F139" s="109"/>
      <c r="G139" s="109"/>
      <c r="H139" s="152">
        <f t="shared" si="15"/>
        <v>12</v>
      </c>
      <c r="I139" s="153"/>
      <c r="J139" s="154"/>
      <c r="K139" s="155">
        <f t="shared" si="16"/>
        <v>475</v>
      </c>
      <c r="L139" s="156"/>
      <c r="M139" s="157" t="str">
        <f t="shared" si="13"/>
        <v>PLW067,PLW237,LH</v>
      </c>
      <c r="N139" s="158"/>
      <c r="O139" s="159"/>
      <c r="P139" s="35">
        <f t="shared" si="14"/>
        <v>0</v>
      </c>
      <c r="R139" s="88"/>
      <c r="S139" s="88"/>
      <c r="T139" s="67"/>
      <c r="V139" s="147"/>
    </row>
    <row r="140" spans="1:22" ht="25.15" customHeight="1" x14ac:dyDescent="0.25">
      <c r="A140" s="32">
        <f t="shared" si="12"/>
        <v>0</v>
      </c>
      <c r="B140" s="109" t="str">
        <f t="shared" si="12"/>
        <v>323236-5832</v>
      </c>
      <c r="C140" s="109"/>
      <c r="D140" s="109"/>
      <c r="E140" s="109"/>
      <c r="F140" s="109"/>
      <c r="G140" s="109"/>
      <c r="H140" s="152">
        <f t="shared" si="15"/>
        <v>3</v>
      </c>
      <c r="I140" s="153"/>
      <c r="J140" s="154"/>
      <c r="K140" s="155">
        <f t="shared" si="16"/>
        <v>165</v>
      </c>
      <c r="L140" s="156"/>
      <c r="M140" s="157" t="str">
        <f t="shared" si="13"/>
        <v>SW</v>
      </c>
      <c r="N140" s="158"/>
      <c r="O140" s="159"/>
      <c r="P140" s="35">
        <f t="shared" si="14"/>
        <v>0</v>
      </c>
      <c r="R140" s="88"/>
      <c r="S140" s="88"/>
      <c r="T140" s="67"/>
      <c r="V140" s="148"/>
    </row>
    <row r="141" spans="1:22" ht="25.15" customHeight="1" x14ac:dyDescent="0.25">
      <c r="A141" s="32">
        <f t="shared" si="12"/>
        <v>0</v>
      </c>
      <c r="B141" s="109" t="str">
        <f t="shared" si="12"/>
        <v>306972-5828</v>
      </c>
      <c r="C141" s="109"/>
      <c r="D141" s="109"/>
      <c r="E141" s="109"/>
      <c r="F141" s="109"/>
      <c r="G141" s="109"/>
      <c r="H141" s="152">
        <f t="shared" si="15"/>
        <v>23</v>
      </c>
      <c r="I141" s="153"/>
      <c r="J141" s="154"/>
      <c r="K141" s="155">
        <f t="shared" si="16"/>
        <v>1885</v>
      </c>
      <c r="L141" s="156"/>
      <c r="M141" s="157" t="str">
        <f t="shared" si="13"/>
        <v>PL</v>
      </c>
      <c r="N141" s="158"/>
      <c r="O141" s="159"/>
      <c r="P141" s="35">
        <f t="shared" si="14"/>
        <v>0</v>
      </c>
      <c r="R141" s="88"/>
      <c r="S141" s="88"/>
      <c r="T141" s="67"/>
      <c r="V141" s="148"/>
    </row>
    <row r="142" spans="1:22" ht="25.15" customHeight="1" x14ac:dyDescent="0.25">
      <c r="A142" s="32">
        <f t="shared" si="12"/>
        <v>0</v>
      </c>
      <c r="B142" s="109" t="str">
        <f t="shared" si="12"/>
        <v>291816-5832</v>
      </c>
      <c r="C142" s="109"/>
      <c r="D142" s="109"/>
      <c r="E142" s="109"/>
      <c r="F142" s="109"/>
      <c r="G142" s="109"/>
      <c r="H142" s="152">
        <f t="shared" si="15"/>
        <v>2</v>
      </c>
      <c r="I142" s="153"/>
      <c r="J142" s="154"/>
      <c r="K142" s="155">
        <f t="shared" si="16"/>
        <v>74</v>
      </c>
      <c r="L142" s="156"/>
      <c r="M142" s="157" t="str">
        <f t="shared" si="13"/>
        <v>OL</v>
      </c>
      <c r="N142" s="158"/>
      <c r="O142" s="159"/>
      <c r="P142" s="35">
        <f t="shared" si="14"/>
        <v>0</v>
      </c>
      <c r="R142" s="88"/>
      <c r="S142" s="88"/>
      <c r="T142" s="67"/>
    </row>
    <row r="143" spans="1:22" ht="25.15" customHeight="1" x14ac:dyDescent="0.25">
      <c r="A143" s="32">
        <f t="shared" si="12"/>
        <v>0</v>
      </c>
      <c r="B143" s="109" t="str">
        <f t="shared" si="12"/>
        <v>285445-5832</v>
      </c>
      <c r="C143" s="109"/>
      <c r="D143" s="109"/>
      <c r="E143" s="109"/>
      <c r="F143" s="109"/>
      <c r="G143" s="109"/>
      <c r="H143" s="152">
        <f t="shared" si="15"/>
        <v>1</v>
      </c>
      <c r="I143" s="153"/>
      <c r="J143" s="154"/>
      <c r="K143" s="155">
        <f t="shared" si="16"/>
        <v>29</v>
      </c>
      <c r="L143" s="156"/>
      <c r="M143" s="157" t="str">
        <f t="shared" si="13"/>
        <v>OL</v>
      </c>
      <c r="N143" s="158"/>
      <c r="O143" s="159"/>
      <c r="P143" s="35">
        <f t="shared" si="14"/>
        <v>0</v>
      </c>
      <c r="R143" s="88"/>
      <c r="S143" s="88"/>
      <c r="T143" s="67"/>
    </row>
    <row r="144" spans="1:22" ht="25.15" customHeight="1" x14ac:dyDescent="0.25">
      <c r="A144" s="32">
        <f t="shared" si="12"/>
        <v>0</v>
      </c>
      <c r="B144" s="109" t="str">
        <f t="shared" si="12"/>
        <v>307360-5832</v>
      </c>
      <c r="C144" s="109"/>
      <c r="D144" s="109"/>
      <c r="E144" s="109"/>
      <c r="F144" s="109"/>
      <c r="G144" s="109"/>
      <c r="H144" s="152">
        <f t="shared" si="15"/>
        <v>4</v>
      </c>
      <c r="I144" s="153"/>
      <c r="J144" s="154"/>
      <c r="K144" s="155">
        <f t="shared" si="16"/>
        <v>330</v>
      </c>
      <c r="L144" s="156"/>
      <c r="M144" s="157" t="str">
        <f t="shared" si="13"/>
        <v>OL</v>
      </c>
      <c r="N144" s="158"/>
      <c r="O144" s="159"/>
      <c r="P144" s="35">
        <f t="shared" si="14"/>
        <v>0</v>
      </c>
      <c r="R144" s="88"/>
      <c r="S144" s="88"/>
      <c r="T144" s="67"/>
    </row>
    <row r="145" spans="1:20" ht="25.15" customHeight="1" x14ac:dyDescent="0.25">
      <c r="A145" s="32">
        <f t="shared" si="12"/>
        <v>0</v>
      </c>
      <c r="B145" s="109" t="str">
        <f t="shared" si="12"/>
        <v>327483-7952</v>
      </c>
      <c r="C145" s="109"/>
      <c r="D145" s="109"/>
      <c r="E145" s="109"/>
      <c r="F145" s="109"/>
      <c r="G145" s="109"/>
      <c r="H145" s="152">
        <f t="shared" si="15"/>
        <v>15</v>
      </c>
      <c r="I145" s="153"/>
      <c r="J145" s="154"/>
      <c r="K145" s="155">
        <f t="shared" si="16"/>
        <v>747</v>
      </c>
      <c r="L145" s="156"/>
      <c r="M145" s="157" t="str">
        <f t="shared" si="13"/>
        <v>PLW067,PLW237,LH</v>
      </c>
      <c r="N145" s="158"/>
      <c r="O145" s="159"/>
      <c r="P145" s="35">
        <f t="shared" si="14"/>
        <v>0</v>
      </c>
      <c r="R145" s="88"/>
      <c r="S145" s="88"/>
      <c r="T145" s="67"/>
    </row>
    <row r="146" spans="1:20" ht="25.15" customHeight="1" x14ac:dyDescent="0.25">
      <c r="A146" s="32">
        <f t="shared" si="12"/>
        <v>0</v>
      </c>
      <c r="B146" s="109" t="str">
        <f t="shared" si="12"/>
        <v>307361-5832</v>
      </c>
      <c r="C146" s="109"/>
      <c r="D146" s="109"/>
      <c r="E146" s="109"/>
      <c r="F146" s="109"/>
      <c r="G146" s="109"/>
      <c r="H146" s="152">
        <f t="shared" si="15"/>
        <v>3</v>
      </c>
      <c r="I146" s="153"/>
      <c r="J146" s="154"/>
      <c r="K146" s="155">
        <f t="shared" si="16"/>
        <v>220</v>
      </c>
      <c r="L146" s="156"/>
      <c r="M146" s="157" t="str">
        <f t="shared" si="13"/>
        <v>OL</v>
      </c>
      <c r="N146" s="158"/>
      <c r="O146" s="159"/>
      <c r="P146" s="35">
        <f t="shared" si="14"/>
        <v>0</v>
      </c>
      <c r="R146" s="88"/>
      <c r="S146" s="88"/>
      <c r="T146" s="67"/>
    </row>
    <row r="147" spans="1:20" ht="25.15" customHeight="1" x14ac:dyDescent="0.25">
      <c r="A147" s="32">
        <f t="shared" si="12"/>
        <v>0</v>
      </c>
      <c r="B147" s="109" t="str">
        <f t="shared" si="12"/>
        <v>990428-1643</v>
      </c>
      <c r="C147" s="109"/>
      <c r="D147" s="109"/>
      <c r="E147" s="109"/>
      <c r="F147" s="109"/>
      <c r="G147" s="109"/>
      <c r="H147" s="152">
        <f t="shared" si="15"/>
        <v>26</v>
      </c>
      <c r="I147" s="153"/>
      <c r="J147" s="154"/>
      <c r="K147" s="155">
        <f t="shared" si="16"/>
        <v>754</v>
      </c>
      <c r="L147" s="156"/>
      <c r="M147" s="157" t="str">
        <f t="shared" si="13"/>
        <v>PE</v>
      </c>
      <c r="N147" s="158"/>
      <c r="O147" s="159"/>
      <c r="P147" s="35">
        <f t="shared" si="14"/>
        <v>0</v>
      </c>
      <c r="R147" s="88"/>
      <c r="S147" s="88"/>
      <c r="T147" s="67"/>
    </row>
    <row r="148" spans="1:20" ht="25.15" customHeight="1" x14ac:dyDescent="0.25">
      <c r="A148" s="32">
        <f t="shared" si="12"/>
        <v>0</v>
      </c>
      <c r="B148" s="109" t="str">
        <f t="shared" si="12"/>
        <v>307355-5832</v>
      </c>
      <c r="C148" s="109"/>
      <c r="D148" s="109"/>
      <c r="E148" s="109"/>
      <c r="F148" s="109"/>
      <c r="G148" s="109"/>
      <c r="H148" s="152">
        <f t="shared" si="15"/>
        <v>1</v>
      </c>
      <c r="I148" s="153"/>
      <c r="J148" s="154"/>
      <c r="K148" s="155">
        <f t="shared" si="16"/>
        <v>48</v>
      </c>
      <c r="L148" s="156"/>
      <c r="M148" s="157" t="str">
        <f t="shared" si="13"/>
        <v>OL</v>
      </c>
      <c r="N148" s="158"/>
      <c r="O148" s="159"/>
      <c r="P148" s="35">
        <f t="shared" si="14"/>
        <v>0</v>
      </c>
      <c r="R148" s="88"/>
      <c r="S148" s="88"/>
      <c r="T148" s="67"/>
    </row>
    <row r="149" spans="1:20" ht="25.15" customHeight="1" x14ac:dyDescent="0.25">
      <c r="A149" s="32">
        <f t="shared" si="12"/>
        <v>0</v>
      </c>
      <c r="B149" s="109" t="str">
        <f t="shared" si="12"/>
        <v>309643-5832</v>
      </c>
      <c r="C149" s="109"/>
      <c r="D149" s="109"/>
      <c r="E149" s="109"/>
      <c r="F149" s="109"/>
      <c r="G149" s="109"/>
      <c r="H149" s="152">
        <f t="shared" si="15"/>
        <v>23</v>
      </c>
      <c r="I149" s="153"/>
      <c r="J149" s="154"/>
      <c r="K149" s="155">
        <f t="shared" si="16"/>
        <v>1124</v>
      </c>
      <c r="L149" s="156"/>
      <c r="M149" s="157" t="str">
        <f t="shared" si="13"/>
        <v>PLW067,PLW237</v>
      </c>
      <c r="N149" s="158"/>
      <c r="O149" s="159"/>
      <c r="P149" s="35">
        <f t="shared" si="14"/>
        <v>0</v>
      </c>
      <c r="R149" s="88"/>
      <c r="S149" s="88"/>
      <c r="T149" s="67"/>
    </row>
    <row r="150" spans="1:20" ht="25.15" customHeight="1" x14ac:dyDescent="0.25">
      <c r="A150" s="32">
        <f t="shared" si="12"/>
        <v>0</v>
      </c>
      <c r="B150" s="109" t="str">
        <f t="shared" si="12"/>
        <v>325378-5832</v>
      </c>
      <c r="C150" s="109"/>
      <c r="D150" s="109"/>
      <c r="E150" s="109"/>
      <c r="F150" s="109"/>
      <c r="G150" s="109"/>
      <c r="H150" s="152">
        <f t="shared" si="15"/>
        <v>65</v>
      </c>
      <c r="I150" s="153"/>
      <c r="J150" s="154"/>
      <c r="K150" s="155">
        <f t="shared" si="16"/>
        <v>4540</v>
      </c>
      <c r="L150" s="156"/>
      <c r="M150" s="157" t="str">
        <f t="shared" si="13"/>
        <v>PLW067,PLW237,LH</v>
      </c>
      <c r="N150" s="158"/>
      <c r="O150" s="159"/>
      <c r="P150" s="35">
        <f t="shared" si="14"/>
        <v>0</v>
      </c>
      <c r="R150" s="88"/>
      <c r="S150" s="88"/>
      <c r="T150" s="67"/>
    </row>
    <row r="151" spans="1:20" ht="25.15" customHeight="1" x14ac:dyDescent="0.25">
      <c r="A151" s="32">
        <f t="shared" si="12"/>
        <v>0</v>
      </c>
      <c r="B151" s="109">
        <f t="shared" si="12"/>
        <v>0</v>
      </c>
      <c r="C151" s="109"/>
      <c r="D151" s="109"/>
      <c r="E151" s="109"/>
      <c r="F151" s="109"/>
      <c r="G151" s="109"/>
      <c r="H151" s="152">
        <f t="shared" si="15"/>
        <v>0</v>
      </c>
      <c r="I151" s="153"/>
      <c r="J151" s="154"/>
      <c r="K151" s="155">
        <f t="shared" si="16"/>
        <v>0</v>
      </c>
      <c r="L151" s="156"/>
      <c r="M151" s="157">
        <f t="shared" si="13"/>
        <v>0</v>
      </c>
      <c r="N151" s="158"/>
      <c r="O151" s="159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09">
        <f t="shared" si="12"/>
        <v>0</v>
      </c>
      <c r="C152" s="109"/>
      <c r="D152" s="109"/>
      <c r="E152" s="109"/>
      <c r="F152" s="109"/>
      <c r="G152" s="109"/>
      <c r="H152" s="152">
        <f t="shared" si="15"/>
        <v>0</v>
      </c>
      <c r="I152" s="153"/>
      <c r="J152" s="154"/>
      <c r="K152" s="155">
        <f t="shared" si="16"/>
        <v>0</v>
      </c>
      <c r="L152" s="156"/>
      <c r="M152" s="157">
        <f t="shared" si="13"/>
        <v>0</v>
      </c>
      <c r="N152" s="158"/>
      <c r="O152" s="159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09">
        <f t="shared" si="17"/>
        <v>0</v>
      </c>
      <c r="C153" s="109"/>
      <c r="D153" s="109"/>
      <c r="E153" s="109"/>
      <c r="F153" s="109"/>
      <c r="G153" s="109"/>
      <c r="H153" s="152">
        <f t="shared" si="15"/>
        <v>0</v>
      </c>
      <c r="I153" s="153"/>
      <c r="J153" s="154"/>
      <c r="K153" s="155">
        <f t="shared" si="16"/>
        <v>0</v>
      </c>
      <c r="L153" s="156"/>
      <c r="M153" s="157">
        <f t="shared" si="13"/>
        <v>0</v>
      </c>
      <c r="N153" s="158"/>
      <c r="O153" s="159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09">
        <f t="shared" si="17"/>
        <v>0</v>
      </c>
      <c r="C154" s="109"/>
      <c r="D154" s="109"/>
      <c r="E154" s="109"/>
      <c r="F154" s="109"/>
      <c r="G154" s="109"/>
      <c r="H154" s="152">
        <f t="shared" si="15"/>
        <v>0</v>
      </c>
      <c r="I154" s="153"/>
      <c r="J154" s="154"/>
      <c r="K154" s="155">
        <f t="shared" si="16"/>
        <v>0</v>
      </c>
      <c r="L154" s="156"/>
      <c r="M154" s="157">
        <f t="shared" si="13"/>
        <v>0</v>
      </c>
      <c r="N154" s="158"/>
      <c r="O154" s="159"/>
      <c r="P154" s="35">
        <f t="shared" si="14"/>
        <v>0</v>
      </c>
    </row>
    <row r="155" spans="1:20" ht="21.95" customHeight="1" thickBot="1" x14ac:dyDescent="0.3">
      <c r="A155" s="126" t="s">
        <v>17</v>
      </c>
      <c r="B155" s="127"/>
      <c r="C155" s="127"/>
      <c r="D155" s="127"/>
      <c r="E155" s="127"/>
      <c r="F155" s="127"/>
      <c r="G155" s="116"/>
      <c r="H155" s="128">
        <f>SUM(H135:J154)</f>
        <v>283</v>
      </c>
      <c r="I155" s="168"/>
      <c r="J155" s="169"/>
      <c r="K155" s="131">
        <f>SUM(K135:L154)</f>
        <v>15458</v>
      </c>
      <c r="L155" s="132"/>
      <c r="M155" s="133"/>
      <c r="N155" s="134"/>
      <c r="O155" s="135"/>
      <c r="P155" s="19"/>
    </row>
    <row r="157" spans="1:20" ht="31.9" customHeight="1" x14ac:dyDescent="0.25">
      <c r="A157" s="137" t="s">
        <v>22</v>
      </c>
      <c r="B157" s="138"/>
      <c r="C157" s="138"/>
      <c r="D157" s="139" t="str">
        <f>D117</f>
        <v>MD.MANNAN</v>
      </c>
      <c r="E157" s="139"/>
      <c r="F157" s="139"/>
      <c r="G157" s="138" t="s">
        <v>23</v>
      </c>
      <c r="H157" s="138"/>
      <c r="I157" s="138"/>
      <c r="J157" s="138"/>
      <c r="K157" s="138"/>
      <c r="L157" s="138"/>
      <c r="M157" s="140" t="str">
        <f>M117</f>
        <v>01993-155561</v>
      </c>
      <c r="N157" s="140"/>
      <c r="O157" s="140"/>
      <c r="P157" s="141"/>
    </row>
    <row r="158" spans="1:20" ht="31.9" customHeight="1" x14ac:dyDescent="0.25">
      <c r="A158" s="142" t="s">
        <v>24</v>
      </c>
      <c r="B158" s="143"/>
      <c r="C158" s="143"/>
      <c r="D158" s="144">
        <f>D118</f>
        <v>390201</v>
      </c>
      <c r="E158" s="144"/>
      <c r="F158" s="144"/>
      <c r="G158" s="143" t="s">
        <v>25</v>
      </c>
      <c r="H158" s="143"/>
      <c r="I158" s="143"/>
      <c r="J158" s="143"/>
      <c r="K158" s="143"/>
      <c r="L158" s="143"/>
      <c r="M158" s="145" t="str">
        <f>M118</f>
        <v>D.M.TA 19-7671</v>
      </c>
      <c r="N158" s="145"/>
      <c r="O158" s="145"/>
      <c r="P158" s="146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36" t="s">
        <v>18</v>
      </c>
      <c r="B160" s="136"/>
      <c r="C160" s="136"/>
      <c r="D160" s="4"/>
      <c r="E160" s="4"/>
      <c r="F160" s="136" t="s">
        <v>19</v>
      </c>
      <c r="G160" s="136"/>
      <c r="H160" s="36"/>
      <c r="I160" s="36"/>
      <c r="J160" s="36"/>
      <c r="K160" s="4"/>
      <c r="L160" s="136" t="s">
        <v>20</v>
      </c>
      <c r="M160" s="136"/>
      <c r="N160" s="136"/>
      <c r="O160" s="136"/>
      <c r="P160" s="136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26:G26"/>
    <mergeCell ref="H26:J26"/>
    <mergeCell ref="K26:L26"/>
    <mergeCell ref="M26:O26"/>
    <mergeCell ref="B27:G27"/>
    <mergeCell ref="H27:J27"/>
    <mergeCell ref="K27:L27"/>
    <mergeCell ref="M27:O27"/>
    <mergeCell ref="B24:G24"/>
    <mergeCell ref="H24:J24"/>
    <mergeCell ref="K24:L24"/>
    <mergeCell ref="M24:O24"/>
    <mergeCell ref="B25:G25"/>
    <mergeCell ref="H25:J25"/>
    <mergeCell ref="K25:L25"/>
    <mergeCell ref="M25:O25"/>
    <mergeCell ref="V16:V18"/>
    <mergeCell ref="B17:G17"/>
    <mergeCell ref="H17:J17"/>
    <mergeCell ref="K17:L17"/>
    <mergeCell ref="M17:O17"/>
    <mergeCell ref="B18:G18"/>
    <mergeCell ref="B23:G23"/>
    <mergeCell ref="H23:J23"/>
    <mergeCell ref="K23:L23"/>
    <mergeCell ref="M23:O23"/>
    <mergeCell ref="V19:V21"/>
    <mergeCell ref="B20:G20"/>
    <mergeCell ref="H20:J20"/>
    <mergeCell ref="K20:L20"/>
    <mergeCell ref="M20:O20"/>
    <mergeCell ref="B21:G21"/>
    <mergeCell ref="H21:J21"/>
    <mergeCell ref="K21:L21"/>
    <mergeCell ref="M21:O21"/>
    <mergeCell ref="B19:G19"/>
    <mergeCell ref="H19:J19"/>
    <mergeCell ref="K19:L19"/>
    <mergeCell ref="M19:O19"/>
    <mergeCell ref="M15:O15"/>
    <mergeCell ref="H18:J18"/>
    <mergeCell ref="K18:L18"/>
    <mergeCell ref="M18:O18"/>
    <mergeCell ref="B16:G16"/>
    <mergeCell ref="H16:J16"/>
    <mergeCell ref="K16:L16"/>
    <mergeCell ref="M16:O16"/>
    <mergeCell ref="B22:G22"/>
    <mergeCell ref="H22:J22"/>
    <mergeCell ref="K22:L22"/>
    <mergeCell ref="M22:O22"/>
    <mergeCell ref="C12:G12"/>
    <mergeCell ref="H12:L12"/>
    <mergeCell ref="M12:O14"/>
    <mergeCell ref="P12:P14"/>
    <mergeCell ref="C13:G13"/>
    <mergeCell ref="H13:J14"/>
    <mergeCell ref="K13:L14"/>
    <mergeCell ref="V7:V9"/>
    <mergeCell ref="A8:F10"/>
    <mergeCell ref="H8:J8"/>
    <mergeCell ref="L8:P8"/>
    <mergeCell ref="H9:J11"/>
    <mergeCell ref="K9:K11"/>
    <mergeCell ref="L9:P11"/>
    <mergeCell ref="V10:V12"/>
    <mergeCell ref="A11:B11"/>
    <mergeCell ref="A12:B12"/>
    <mergeCell ref="V13:V15"/>
    <mergeCell ref="A14:B14"/>
    <mergeCell ref="C14:D14"/>
    <mergeCell ref="E14:G14"/>
    <mergeCell ref="B15:G15"/>
    <mergeCell ref="H15:J15"/>
    <mergeCell ref="K15:L15"/>
    <mergeCell ref="A6:B6"/>
    <mergeCell ref="C6:F6"/>
    <mergeCell ref="H6:J6"/>
    <mergeCell ref="L6:P6"/>
    <mergeCell ref="H7:J7"/>
    <mergeCell ref="L7:P7"/>
    <mergeCell ref="A2:C3"/>
    <mergeCell ref="D2:L3"/>
    <mergeCell ref="M2:P3"/>
    <mergeCell ref="A4:C4"/>
    <mergeCell ref="D4:L4"/>
    <mergeCell ref="A5:B5"/>
    <mergeCell ref="D5:L5"/>
    <mergeCell ref="N5:P5"/>
  </mergeCells>
  <dataValidations count="4">
    <dataValidation type="list" allowBlank="1" showInputMessage="1" showErrorMessage="1" sqref="L8:P8 L48:P48 L88:P88 L128:P128" xr:uid="{19C64772-60B7-4DC5-A69F-323B2942571F}">
      <formula1>Mode</formula1>
    </dataValidation>
    <dataValidation type="list" allowBlank="1" showInputMessage="1" showErrorMessage="1" sqref="A8 A48 A88 A128" xr:uid="{D832B366-42FC-4BEE-9664-4FE115F1E8A5}">
      <formula1>$T$7:$T$35</formula1>
    </dataValidation>
    <dataValidation type="list" allowBlank="1" showInputMessage="1" showErrorMessage="1" sqref="L9:P11 L49:P51 L89:P91 L129:P131" xr:uid="{A5FF5994-42A7-4BF1-8CA4-3B3511A72088}">
      <formula1>Carrier</formula1>
    </dataValidation>
    <dataValidation type="list" allowBlank="1" showInputMessage="1" showErrorMessage="1" sqref="C14:D14 C94:D94 C54:D54 C134:D134" xr:uid="{6EF08290-DFA7-40D5-AB00-2D8C76F5183F}">
      <formula1>$W$7:$W$161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65B2F-BB56-4DC4-83FE-FA9C93EBE981}">
  <sheetPr>
    <tabColor rgb="FF00B050"/>
  </sheetPr>
  <dimension ref="A1:Y168"/>
  <sheetViews>
    <sheetView view="pageBreakPreview" topLeftCell="A25" zoomScaleNormal="100" zoomScaleSheetLayoutView="100" workbookViewId="0">
      <selection activeCell="M38" sqref="M38:P38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37"/>
      <c r="B2" s="37"/>
      <c r="C2" s="37"/>
      <c r="D2" s="38" t="s">
        <v>27</v>
      </c>
      <c r="E2" s="38"/>
      <c r="F2" s="38"/>
      <c r="G2" s="38"/>
      <c r="H2" s="38"/>
      <c r="I2" s="38"/>
      <c r="J2" s="38"/>
      <c r="K2" s="38"/>
      <c r="L2" s="38"/>
      <c r="M2" s="39" t="s">
        <v>26</v>
      </c>
      <c r="N2" s="39"/>
      <c r="O2" s="39"/>
      <c r="P2" s="39"/>
      <c r="Q2" s="10"/>
    </row>
    <row r="3" spans="1:25" ht="22.15" customHeight="1" x14ac:dyDescent="0.25">
      <c r="A3" s="37"/>
      <c r="B3" s="37"/>
      <c r="C3" s="37"/>
      <c r="D3" s="38"/>
      <c r="E3" s="38"/>
      <c r="F3" s="38"/>
      <c r="G3" s="38"/>
      <c r="H3" s="38"/>
      <c r="I3" s="38"/>
      <c r="J3" s="38"/>
      <c r="K3" s="38"/>
      <c r="L3" s="38"/>
      <c r="M3" s="39"/>
      <c r="N3" s="39"/>
      <c r="O3" s="39"/>
      <c r="P3" s="39"/>
      <c r="Q3" s="10"/>
    </row>
    <row r="4" spans="1:25" ht="17.45" customHeight="1" x14ac:dyDescent="0.25">
      <c r="A4" s="40"/>
      <c r="B4" s="40"/>
      <c r="C4" s="40"/>
      <c r="D4" s="41" t="s">
        <v>21</v>
      </c>
      <c r="E4" s="41"/>
      <c r="F4" s="41"/>
      <c r="G4" s="41"/>
      <c r="H4" s="41"/>
      <c r="I4" s="41"/>
      <c r="J4" s="41"/>
      <c r="K4" s="41"/>
      <c r="L4" s="41"/>
      <c r="M4" s="11"/>
    </row>
    <row r="5" spans="1:25" ht="22.15" customHeight="1" thickBot="1" x14ac:dyDescent="0.35">
      <c r="A5" s="42"/>
      <c r="B5" s="42"/>
      <c r="C5" s="1"/>
      <c r="D5" s="43" t="s">
        <v>89</v>
      </c>
      <c r="E5" s="43"/>
      <c r="F5" s="43"/>
      <c r="G5" s="43"/>
      <c r="H5" s="43"/>
      <c r="I5" s="43"/>
      <c r="J5" s="43"/>
      <c r="K5" s="43"/>
      <c r="L5" s="43"/>
      <c r="M5" s="2"/>
      <c r="N5" s="37"/>
      <c r="O5" s="37"/>
      <c r="P5" s="37"/>
    </row>
    <row r="6" spans="1:25" ht="15.6" customHeight="1" thickBot="1" x14ac:dyDescent="0.35">
      <c r="A6" s="71" t="s">
        <v>9</v>
      </c>
      <c r="B6" s="72"/>
      <c r="C6" s="73" t="s">
        <v>116</v>
      </c>
      <c r="D6" s="73"/>
      <c r="E6" s="73"/>
      <c r="F6" s="74"/>
      <c r="G6" s="2"/>
      <c r="H6" s="75" t="s">
        <v>4</v>
      </c>
      <c r="I6" s="76"/>
      <c r="J6" s="76"/>
      <c r="K6" s="8" t="s">
        <v>7</v>
      </c>
      <c r="L6" s="77" t="s">
        <v>193</v>
      </c>
      <c r="M6" s="77"/>
      <c r="N6" s="77"/>
      <c r="O6" s="77"/>
      <c r="P6" s="78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52" t="s">
        <v>5</v>
      </c>
      <c r="I7" s="53"/>
      <c r="J7" s="53"/>
      <c r="K7" s="9" t="s">
        <v>7</v>
      </c>
      <c r="L7" s="79">
        <f ca="1">NOW()</f>
        <v>45689.589567129631</v>
      </c>
      <c r="M7" s="79"/>
      <c r="N7" s="79"/>
      <c r="O7" s="79"/>
      <c r="P7" s="80"/>
      <c r="R7" s="28">
        <v>1</v>
      </c>
      <c r="S7" s="28" t="s">
        <v>39</v>
      </c>
      <c r="T7" s="29" t="s">
        <v>33</v>
      </c>
      <c r="U7" s="17" t="s">
        <v>29</v>
      </c>
      <c r="V7" s="44" t="s">
        <v>47</v>
      </c>
      <c r="W7" t="s">
        <v>54</v>
      </c>
    </row>
    <row r="8" spans="1:25" ht="18" customHeight="1" x14ac:dyDescent="0.3">
      <c r="A8" s="46" t="s">
        <v>192</v>
      </c>
      <c r="B8" s="47"/>
      <c r="C8" s="47"/>
      <c r="D8" s="47"/>
      <c r="E8" s="47"/>
      <c r="F8" s="48"/>
      <c r="G8" s="2"/>
      <c r="H8" s="52" t="s">
        <v>8</v>
      </c>
      <c r="I8" s="53"/>
      <c r="J8" s="53"/>
      <c r="K8" s="9" t="s">
        <v>7</v>
      </c>
      <c r="L8" s="54" t="s">
        <v>29</v>
      </c>
      <c r="M8" s="54"/>
      <c r="N8" s="54"/>
      <c r="O8" s="54"/>
      <c r="P8" s="55"/>
      <c r="R8" s="28">
        <v>2</v>
      </c>
      <c r="S8" s="28" t="s">
        <v>40</v>
      </c>
      <c r="T8" s="29" t="s">
        <v>99</v>
      </c>
      <c r="U8" s="17" t="s">
        <v>30</v>
      </c>
      <c r="V8" s="45"/>
      <c r="W8" t="s">
        <v>55</v>
      </c>
    </row>
    <row r="9" spans="1:25" ht="17.45" customHeight="1" x14ac:dyDescent="0.3">
      <c r="A9" s="46"/>
      <c r="B9" s="47"/>
      <c r="C9" s="47"/>
      <c r="D9" s="47"/>
      <c r="E9" s="47"/>
      <c r="F9" s="48"/>
      <c r="G9" s="2"/>
      <c r="H9" s="56" t="s">
        <v>6</v>
      </c>
      <c r="I9" s="57"/>
      <c r="J9" s="57"/>
      <c r="K9" s="62" t="s">
        <v>7</v>
      </c>
      <c r="L9" s="65" t="s">
        <v>52</v>
      </c>
      <c r="M9" s="65"/>
      <c r="N9" s="65"/>
      <c r="O9" s="65"/>
      <c r="P9" s="66"/>
      <c r="R9" s="28">
        <v>3</v>
      </c>
      <c r="S9" s="28" t="s">
        <v>41</v>
      </c>
      <c r="T9" s="29" t="s">
        <v>100</v>
      </c>
      <c r="U9" s="17" t="s">
        <v>31</v>
      </c>
      <c r="V9" s="45"/>
      <c r="W9" t="s">
        <v>56</v>
      </c>
    </row>
    <row r="10" spans="1:25" ht="18" customHeight="1" thickBot="1" x14ac:dyDescent="0.35">
      <c r="A10" s="49"/>
      <c r="B10" s="50"/>
      <c r="C10" s="50"/>
      <c r="D10" s="50"/>
      <c r="E10" s="50"/>
      <c r="F10" s="51"/>
      <c r="G10" s="2"/>
      <c r="H10" s="58"/>
      <c r="I10" s="59"/>
      <c r="J10" s="59"/>
      <c r="K10" s="63"/>
      <c r="L10" s="67"/>
      <c r="M10" s="67"/>
      <c r="N10" s="67"/>
      <c r="O10" s="67"/>
      <c r="P10" s="68"/>
      <c r="R10" s="28">
        <v>4</v>
      </c>
      <c r="S10" s="28" t="s">
        <v>42</v>
      </c>
      <c r="T10" s="30" t="s">
        <v>34</v>
      </c>
      <c r="U10" s="17"/>
      <c r="V10" s="44" t="s">
        <v>48</v>
      </c>
      <c r="W10" t="s">
        <v>57</v>
      </c>
    </row>
    <row r="11" spans="1:25" ht="18" customHeight="1" thickBot="1" x14ac:dyDescent="0.35">
      <c r="A11" s="42"/>
      <c r="B11" s="42"/>
      <c r="C11" s="1"/>
      <c r="D11" s="2"/>
      <c r="E11" s="2"/>
      <c r="F11" s="2"/>
      <c r="G11" s="2"/>
      <c r="H11" s="60"/>
      <c r="I11" s="61"/>
      <c r="J11" s="61"/>
      <c r="K11" s="64"/>
      <c r="L11" s="69"/>
      <c r="M11" s="69"/>
      <c r="N11" s="69"/>
      <c r="O11" s="69"/>
      <c r="P11" s="70"/>
      <c r="R11" s="28">
        <v>5</v>
      </c>
      <c r="S11" s="28" t="s">
        <v>43</v>
      </c>
      <c r="T11" s="30" t="s">
        <v>35</v>
      </c>
      <c r="U11" s="17"/>
      <c r="V11" s="45"/>
      <c r="W11" t="s">
        <v>58</v>
      </c>
    </row>
    <row r="12" spans="1:25" ht="16.149999999999999" customHeight="1" x14ac:dyDescent="0.25">
      <c r="A12" s="103" t="s">
        <v>12</v>
      </c>
      <c r="B12" s="104"/>
      <c r="C12" s="105" t="s">
        <v>0</v>
      </c>
      <c r="D12" s="105"/>
      <c r="E12" s="105"/>
      <c r="F12" s="105"/>
      <c r="G12" s="105"/>
      <c r="H12" s="81" t="s">
        <v>1</v>
      </c>
      <c r="I12" s="82"/>
      <c r="J12" s="82"/>
      <c r="K12" s="82"/>
      <c r="L12" s="83"/>
      <c r="M12" s="84" t="s">
        <v>16</v>
      </c>
      <c r="N12" s="85"/>
      <c r="O12" s="86"/>
      <c r="P12" s="93" t="s">
        <v>3</v>
      </c>
      <c r="R12" s="28">
        <v>6</v>
      </c>
      <c r="S12" s="28" t="s">
        <v>44</v>
      </c>
      <c r="T12" s="30" t="s">
        <v>36</v>
      </c>
      <c r="U12" s="17"/>
      <c r="V12" s="45"/>
      <c r="W12" t="s">
        <v>67</v>
      </c>
    </row>
    <row r="13" spans="1:25" ht="16.149999999999999" customHeight="1" x14ac:dyDescent="0.25">
      <c r="A13" s="3" t="s">
        <v>13</v>
      </c>
      <c r="B13" s="33">
        <v>1</v>
      </c>
      <c r="C13" s="96" t="s">
        <v>14</v>
      </c>
      <c r="D13" s="96"/>
      <c r="E13" s="96"/>
      <c r="F13" s="96"/>
      <c r="G13" s="96"/>
      <c r="H13" s="97" t="s">
        <v>2</v>
      </c>
      <c r="I13" s="98"/>
      <c r="J13" s="99"/>
      <c r="K13" s="97" t="s">
        <v>15</v>
      </c>
      <c r="L13" s="99"/>
      <c r="M13" s="87"/>
      <c r="N13" s="88"/>
      <c r="O13" s="89"/>
      <c r="P13" s="94"/>
      <c r="R13" s="28">
        <v>7</v>
      </c>
      <c r="S13" s="28" t="s">
        <v>45</v>
      </c>
      <c r="T13" s="30" t="s">
        <v>37</v>
      </c>
      <c r="U13" s="12"/>
      <c r="V13" s="44" t="s">
        <v>49</v>
      </c>
      <c r="W13" t="s">
        <v>59</v>
      </c>
    </row>
    <row r="14" spans="1:25" ht="16.149999999999999" customHeight="1" thickBot="1" x14ac:dyDescent="0.3">
      <c r="A14" s="113" t="s">
        <v>11</v>
      </c>
      <c r="B14" s="114"/>
      <c r="C14" s="115" t="s">
        <v>66</v>
      </c>
      <c r="D14" s="116"/>
      <c r="E14" s="117" t="s">
        <v>88</v>
      </c>
      <c r="F14" s="118"/>
      <c r="G14" s="114"/>
      <c r="H14" s="100"/>
      <c r="I14" s="101"/>
      <c r="J14" s="102"/>
      <c r="K14" s="100"/>
      <c r="L14" s="102"/>
      <c r="M14" s="90"/>
      <c r="N14" s="91"/>
      <c r="O14" s="92"/>
      <c r="P14" s="95"/>
      <c r="R14" s="28">
        <v>8</v>
      </c>
      <c r="S14" s="28" t="s">
        <v>46</v>
      </c>
      <c r="T14" s="30" t="s">
        <v>38</v>
      </c>
      <c r="U14" s="12"/>
      <c r="V14" s="45"/>
      <c r="W14" t="s">
        <v>60</v>
      </c>
    </row>
    <row r="15" spans="1:25" ht="25.15" customHeight="1" x14ac:dyDescent="0.25">
      <c r="A15" s="31"/>
      <c r="B15" s="119" t="s">
        <v>152</v>
      </c>
      <c r="C15" s="119"/>
      <c r="D15" s="119"/>
      <c r="E15" s="119"/>
      <c r="F15" s="119"/>
      <c r="G15" s="119"/>
      <c r="H15" s="120">
        <v>10</v>
      </c>
      <c r="I15" s="121"/>
      <c r="J15" s="122"/>
      <c r="K15" s="123">
        <v>382</v>
      </c>
      <c r="L15" s="124"/>
      <c r="M15" s="106" t="s">
        <v>194</v>
      </c>
      <c r="N15" s="107"/>
      <c r="O15" s="108"/>
      <c r="P15" s="34"/>
      <c r="R15" s="28">
        <v>9</v>
      </c>
      <c r="S15" s="28" t="s">
        <v>96</v>
      </c>
      <c r="T15" s="30" t="s">
        <v>93</v>
      </c>
      <c r="U15" s="12"/>
      <c r="V15" s="45"/>
      <c r="W15" t="s">
        <v>61</v>
      </c>
    </row>
    <row r="16" spans="1:25" ht="25.15" customHeight="1" x14ac:dyDescent="0.25">
      <c r="A16" s="32"/>
      <c r="B16" s="109" t="s">
        <v>195</v>
      </c>
      <c r="C16" s="109"/>
      <c r="D16" s="109"/>
      <c r="E16" s="109"/>
      <c r="F16" s="109"/>
      <c r="G16" s="109"/>
      <c r="H16" s="110">
        <v>4</v>
      </c>
      <c r="I16" s="110"/>
      <c r="J16" s="110"/>
      <c r="K16" s="111">
        <v>224</v>
      </c>
      <c r="L16" s="111"/>
      <c r="M16" s="112" t="s">
        <v>196</v>
      </c>
      <c r="N16" s="112"/>
      <c r="O16" s="112"/>
      <c r="P16" s="35"/>
      <c r="R16" s="28">
        <v>10</v>
      </c>
      <c r="S16" s="28" t="s">
        <v>98</v>
      </c>
      <c r="T16" s="30" t="s">
        <v>94</v>
      </c>
      <c r="U16" s="12"/>
      <c r="V16" s="44" t="s">
        <v>50</v>
      </c>
      <c r="W16" t="s">
        <v>62</v>
      </c>
    </row>
    <row r="17" spans="1:23" ht="25.15" customHeight="1" x14ac:dyDescent="0.25">
      <c r="A17" s="32"/>
      <c r="B17" s="109" t="s">
        <v>197</v>
      </c>
      <c r="C17" s="109"/>
      <c r="D17" s="109"/>
      <c r="E17" s="109"/>
      <c r="F17" s="109"/>
      <c r="G17" s="109"/>
      <c r="H17" s="110">
        <v>18</v>
      </c>
      <c r="I17" s="110"/>
      <c r="J17" s="110"/>
      <c r="K17" s="111">
        <v>791</v>
      </c>
      <c r="L17" s="111"/>
      <c r="M17" s="112" t="s">
        <v>198</v>
      </c>
      <c r="N17" s="112"/>
      <c r="O17" s="112"/>
      <c r="P17" s="35"/>
      <c r="R17" s="28">
        <v>11</v>
      </c>
      <c r="S17" s="28" t="s">
        <v>97</v>
      </c>
      <c r="T17" s="30" t="s">
        <v>95</v>
      </c>
      <c r="U17" s="12"/>
      <c r="V17" s="45"/>
      <c r="W17" t="s">
        <v>63</v>
      </c>
    </row>
    <row r="18" spans="1:23" ht="25.15" customHeight="1" x14ac:dyDescent="0.25">
      <c r="A18" s="32"/>
      <c r="B18" s="109" t="s">
        <v>199</v>
      </c>
      <c r="C18" s="109"/>
      <c r="D18" s="109"/>
      <c r="E18" s="109"/>
      <c r="F18" s="109"/>
      <c r="G18" s="109"/>
      <c r="H18" s="110">
        <v>53</v>
      </c>
      <c r="I18" s="110"/>
      <c r="J18" s="110"/>
      <c r="K18" s="111">
        <v>2850</v>
      </c>
      <c r="L18" s="111"/>
      <c r="M18" s="112" t="s">
        <v>200</v>
      </c>
      <c r="N18" s="112"/>
      <c r="O18" s="112"/>
      <c r="P18" s="35"/>
      <c r="R18" s="28">
        <v>12</v>
      </c>
      <c r="S18" s="28" t="s">
        <v>101</v>
      </c>
      <c r="T18" s="30" t="s">
        <v>102</v>
      </c>
      <c r="U18" s="12"/>
      <c r="V18" s="45"/>
      <c r="W18" t="s">
        <v>64</v>
      </c>
    </row>
    <row r="19" spans="1:23" ht="25.15" customHeight="1" x14ac:dyDescent="0.25">
      <c r="A19" s="32"/>
      <c r="B19" s="109" t="s">
        <v>163</v>
      </c>
      <c r="C19" s="109"/>
      <c r="D19" s="109"/>
      <c r="E19" s="109"/>
      <c r="F19" s="109"/>
      <c r="G19" s="109"/>
      <c r="H19" s="110">
        <v>20</v>
      </c>
      <c r="I19" s="110"/>
      <c r="J19" s="110"/>
      <c r="K19" s="111">
        <v>1263</v>
      </c>
      <c r="L19" s="111"/>
      <c r="M19" s="112" t="s">
        <v>201</v>
      </c>
      <c r="N19" s="112"/>
      <c r="O19" s="112"/>
      <c r="P19" s="35"/>
      <c r="R19" s="28">
        <v>13</v>
      </c>
      <c r="S19" s="28" t="s">
        <v>104</v>
      </c>
      <c r="T19" s="30" t="s">
        <v>103</v>
      </c>
      <c r="U19" s="12"/>
      <c r="V19" s="44" t="s">
        <v>51</v>
      </c>
      <c r="W19" t="s">
        <v>65</v>
      </c>
    </row>
    <row r="20" spans="1:23" ht="25.15" customHeight="1" x14ac:dyDescent="0.25">
      <c r="A20" s="32"/>
      <c r="B20" s="109" t="s">
        <v>202</v>
      </c>
      <c r="C20" s="109"/>
      <c r="D20" s="109"/>
      <c r="E20" s="109"/>
      <c r="F20" s="109"/>
      <c r="G20" s="109"/>
      <c r="H20" s="110">
        <v>3</v>
      </c>
      <c r="I20" s="110"/>
      <c r="J20" s="110"/>
      <c r="K20" s="111">
        <v>66</v>
      </c>
      <c r="L20" s="111"/>
      <c r="M20" s="125" t="s">
        <v>196</v>
      </c>
      <c r="N20" s="112"/>
      <c r="O20" s="112"/>
      <c r="P20" s="35"/>
      <c r="R20" s="28">
        <v>14</v>
      </c>
      <c r="S20" s="28" t="s">
        <v>105</v>
      </c>
      <c r="T20" s="30" t="s">
        <v>106</v>
      </c>
      <c r="U20" s="12"/>
      <c r="V20" s="45"/>
      <c r="W20" t="s">
        <v>66</v>
      </c>
    </row>
    <row r="21" spans="1:23" ht="25.15" customHeight="1" x14ac:dyDescent="0.25">
      <c r="A21" s="32"/>
      <c r="B21" s="109" t="s">
        <v>203</v>
      </c>
      <c r="C21" s="109"/>
      <c r="D21" s="109"/>
      <c r="E21" s="109"/>
      <c r="F21" s="109"/>
      <c r="G21" s="109"/>
      <c r="H21" s="110">
        <v>4</v>
      </c>
      <c r="I21" s="110"/>
      <c r="J21" s="110"/>
      <c r="K21" s="111">
        <v>281</v>
      </c>
      <c r="L21" s="111"/>
      <c r="M21" s="112" t="s">
        <v>198</v>
      </c>
      <c r="N21" s="112"/>
      <c r="O21" s="112"/>
      <c r="P21" s="35"/>
      <c r="R21" s="28">
        <v>15</v>
      </c>
      <c r="S21" s="28" t="s">
        <v>108</v>
      </c>
      <c r="T21" s="30" t="s">
        <v>107</v>
      </c>
      <c r="U21" s="12"/>
      <c r="V21" s="45"/>
      <c r="W21" t="s">
        <v>68</v>
      </c>
    </row>
    <row r="22" spans="1:23" ht="25.15" customHeight="1" x14ac:dyDescent="0.25">
      <c r="A22" s="32"/>
      <c r="B22" s="109" t="s">
        <v>204</v>
      </c>
      <c r="C22" s="109"/>
      <c r="D22" s="109"/>
      <c r="E22" s="109"/>
      <c r="F22" s="109"/>
      <c r="G22" s="109"/>
      <c r="H22" s="110">
        <v>1</v>
      </c>
      <c r="I22" s="110"/>
      <c r="J22" s="110"/>
      <c r="K22" s="111">
        <v>13</v>
      </c>
      <c r="L22" s="111"/>
      <c r="M22" s="112" t="s">
        <v>205</v>
      </c>
      <c r="N22" s="112"/>
      <c r="O22" s="112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09" t="s">
        <v>206</v>
      </c>
      <c r="C23" s="109"/>
      <c r="D23" s="109"/>
      <c r="E23" s="109"/>
      <c r="F23" s="109"/>
      <c r="G23" s="109"/>
      <c r="H23" s="110">
        <v>8</v>
      </c>
      <c r="I23" s="110"/>
      <c r="J23" s="110"/>
      <c r="K23" s="111">
        <v>372</v>
      </c>
      <c r="L23" s="111"/>
      <c r="M23" s="112" t="s">
        <v>198</v>
      </c>
      <c r="N23" s="112"/>
      <c r="O23" s="112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09" t="s">
        <v>207</v>
      </c>
      <c r="C24" s="109"/>
      <c r="D24" s="109"/>
      <c r="E24" s="109"/>
      <c r="F24" s="109"/>
      <c r="G24" s="109"/>
      <c r="H24" s="110">
        <v>1</v>
      </c>
      <c r="I24" s="110"/>
      <c r="J24" s="110"/>
      <c r="K24" s="111">
        <v>155</v>
      </c>
      <c r="L24" s="111"/>
      <c r="M24" s="112" t="s">
        <v>196</v>
      </c>
      <c r="N24" s="112"/>
      <c r="O24" s="112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09" t="s">
        <v>208</v>
      </c>
      <c r="C25" s="109"/>
      <c r="D25" s="109"/>
      <c r="E25" s="109"/>
      <c r="F25" s="109"/>
      <c r="G25" s="109"/>
      <c r="H25" s="110">
        <v>17</v>
      </c>
      <c r="I25" s="110"/>
      <c r="J25" s="110"/>
      <c r="K25" s="111">
        <v>387</v>
      </c>
      <c r="L25" s="111"/>
      <c r="M25" s="112" t="s">
        <v>196</v>
      </c>
      <c r="N25" s="112"/>
      <c r="O25" s="112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09" t="s">
        <v>209</v>
      </c>
      <c r="C26" s="109"/>
      <c r="D26" s="109"/>
      <c r="E26" s="109"/>
      <c r="F26" s="109"/>
      <c r="G26" s="109"/>
      <c r="H26" s="110">
        <v>10</v>
      </c>
      <c r="I26" s="110"/>
      <c r="J26" s="110"/>
      <c r="K26" s="111">
        <v>526</v>
      </c>
      <c r="L26" s="111"/>
      <c r="M26" s="112" t="s">
        <v>200</v>
      </c>
      <c r="N26" s="112"/>
      <c r="O26" s="112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09" t="s">
        <v>210</v>
      </c>
      <c r="C27" s="109"/>
      <c r="D27" s="109"/>
      <c r="E27" s="109"/>
      <c r="F27" s="109"/>
      <c r="G27" s="109"/>
      <c r="H27" s="110">
        <v>8</v>
      </c>
      <c r="I27" s="110"/>
      <c r="J27" s="110"/>
      <c r="K27" s="111">
        <v>384</v>
      </c>
      <c r="L27" s="111"/>
      <c r="M27" s="112" t="s">
        <v>200</v>
      </c>
      <c r="N27" s="112"/>
      <c r="O27" s="112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09" t="s">
        <v>211</v>
      </c>
      <c r="C28" s="109"/>
      <c r="D28" s="109"/>
      <c r="E28" s="109"/>
      <c r="F28" s="109"/>
      <c r="G28" s="109"/>
      <c r="H28" s="110">
        <v>7</v>
      </c>
      <c r="I28" s="110"/>
      <c r="J28" s="110"/>
      <c r="K28" s="111">
        <v>150</v>
      </c>
      <c r="L28" s="111"/>
      <c r="M28" s="112" t="s">
        <v>196</v>
      </c>
      <c r="N28" s="112"/>
      <c r="O28" s="112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09" t="s">
        <v>212</v>
      </c>
      <c r="C29" s="109"/>
      <c r="D29" s="109"/>
      <c r="E29" s="109"/>
      <c r="F29" s="109"/>
      <c r="G29" s="109"/>
      <c r="H29" s="110">
        <v>1</v>
      </c>
      <c r="I29" s="110"/>
      <c r="J29" s="110"/>
      <c r="K29" s="111">
        <v>70</v>
      </c>
      <c r="L29" s="111"/>
      <c r="M29" s="112" t="s">
        <v>196</v>
      </c>
      <c r="N29" s="112"/>
      <c r="O29" s="112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09" t="s">
        <v>213</v>
      </c>
      <c r="C30" s="109"/>
      <c r="D30" s="109"/>
      <c r="E30" s="109"/>
      <c r="F30" s="109"/>
      <c r="G30" s="109"/>
      <c r="H30" s="110">
        <v>2</v>
      </c>
      <c r="I30" s="110"/>
      <c r="J30" s="110"/>
      <c r="K30" s="111">
        <v>93</v>
      </c>
      <c r="L30" s="111"/>
      <c r="M30" s="112" t="s">
        <v>196</v>
      </c>
      <c r="N30" s="112"/>
      <c r="O30" s="112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09" t="s">
        <v>214</v>
      </c>
      <c r="C31" s="109"/>
      <c r="D31" s="109"/>
      <c r="E31" s="109"/>
      <c r="F31" s="109"/>
      <c r="G31" s="109"/>
      <c r="H31" s="110">
        <v>42</v>
      </c>
      <c r="I31" s="110"/>
      <c r="J31" s="110"/>
      <c r="K31" s="111">
        <v>2160</v>
      </c>
      <c r="L31" s="111"/>
      <c r="M31" s="112" t="s">
        <v>198</v>
      </c>
      <c r="N31" s="112"/>
      <c r="O31" s="112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09" t="s">
        <v>215</v>
      </c>
      <c r="C32" s="109"/>
      <c r="D32" s="109"/>
      <c r="E32" s="109"/>
      <c r="F32" s="109"/>
      <c r="G32" s="109"/>
      <c r="H32" s="110">
        <v>9</v>
      </c>
      <c r="I32" s="110"/>
      <c r="J32" s="110"/>
      <c r="K32" s="111">
        <v>213</v>
      </c>
      <c r="L32" s="111"/>
      <c r="M32" s="112" t="s">
        <v>205</v>
      </c>
      <c r="N32" s="112"/>
      <c r="O32" s="112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09" t="s">
        <v>216</v>
      </c>
      <c r="C33" s="109"/>
      <c r="D33" s="109"/>
      <c r="E33" s="109"/>
      <c r="F33" s="109"/>
      <c r="G33" s="109"/>
      <c r="H33" s="110">
        <v>15</v>
      </c>
      <c r="I33" s="110"/>
      <c r="J33" s="110"/>
      <c r="K33" s="111">
        <v>736</v>
      </c>
      <c r="L33" s="111"/>
      <c r="M33" s="112" t="s">
        <v>217</v>
      </c>
      <c r="N33" s="112"/>
      <c r="O33" s="112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09" t="s">
        <v>218</v>
      </c>
      <c r="C34" s="109"/>
      <c r="D34" s="109"/>
      <c r="E34" s="109"/>
      <c r="F34" s="109"/>
      <c r="G34" s="109"/>
      <c r="H34" s="110">
        <v>26</v>
      </c>
      <c r="I34" s="110"/>
      <c r="J34" s="110"/>
      <c r="K34" s="111">
        <v>2974</v>
      </c>
      <c r="L34" s="111"/>
      <c r="M34" s="112" t="s">
        <v>200</v>
      </c>
      <c r="N34" s="112"/>
      <c r="O34" s="112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26" t="s">
        <v>17</v>
      </c>
      <c r="B35" s="127"/>
      <c r="C35" s="127"/>
      <c r="D35" s="127"/>
      <c r="E35" s="127"/>
      <c r="F35" s="127"/>
      <c r="G35" s="116"/>
      <c r="H35" s="128">
        <f>SUM(H15:J34)</f>
        <v>259</v>
      </c>
      <c r="I35" s="129"/>
      <c r="J35" s="130"/>
      <c r="K35" s="131">
        <f>SUM(K15:L34)</f>
        <v>14090</v>
      </c>
      <c r="L35" s="132"/>
      <c r="M35" s="133"/>
      <c r="N35" s="134"/>
      <c r="O35" s="135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37" t="s">
        <v>22</v>
      </c>
      <c r="B37" s="138"/>
      <c r="C37" s="138"/>
      <c r="D37" s="139" t="s">
        <v>232</v>
      </c>
      <c r="E37" s="139"/>
      <c r="F37" s="139"/>
      <c r="G37" s="138" t="s">
        <v>23</v>
      </c>
      <c r="H37" s="138"/>
      <c r="I37" s="138"/>
      <c r="J37" s="138"/>
      <c r="K37" s="138"/>
      <c r="L37" s="138"/>
      <c r="M37" s="140" t="s">
        <v>230</v>
      </c>
      <c r="N37" s="140"/>
      <c r="O37" s="140"/>
      <c r="P37" s="141"/>
      <c r="R37" s="23"/>
      <c r="S37" s="24"/>
      <c r="T37" s="21"/>
      <c r="W37" t="s">
        <v>84</v>
      </c>
    </row>
    <row r="38" spans="1:23" ht="31.9" customHeight="1" x14ac:dyDescent="0.25">
      <c r="A38" s="142" t="s">
        <v>24</v>
      </c>
      <c r="B38" s="143"/>
      <c r="C38" s="143"/>
      <c r="D38" s="144" t="s">
        <v>231</v>
      </c>
      <c r="E38" s="144"/>
      <c r="F38" s="144"/>
      <c r="G38" s="143" t="s">
        <v>25</v>
      </c>
      <c r="H38" s="143"/>
      <c r="I38" s="143"/>
      <c r="J38" s="143"/>
      <c r="K38" s="143"/>
      <c r="L38" s="143"/>
      <c r="M38" s="145" t="s">
        <v>229</v>
      </c>
      <c r="N38" s="145"/>
      <c r="O38" s="145"/>
      <c r="P38" s="146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36" t="s">
        <v>18</v>
      </c>
      <c r="B40" s="136"/>
      <c r="C40" s="136"/>
      <c r="D40" s="4"/>
      <c r="E40" s="4"/>
      <c r="F40" s="136" t="s">
        <v>19</v>
      </c>
      <c r="G40" s="136"/>
      <c r="H40" s="36"/>
      <c r="I40" s="36"/>
      <c r="J40" s="36"/>
      <c r="K40" s="4"/>
      <c r="L40" s="136" t="s">
        <v>20</v>
      </c>
      <c r="M40" s="136"/>
      <c r="N40" s="136"/>
      <c r="O40" s="136"/>
      <c r="P40" s="136"/>
      <c r="W40" t="s">
        <v>87</v>
      </c>
    </row>
    <row r="41" spans="1:23" ht="8.25" customHeight="1" x14ac:dyDescent="0.25"/>
    <row r="42" spans="1:23" ht="36.75" customHeight="1" x14ac:dyDescent="0.25">
      <c r="A42" s="37"/>
      <c r="B42" s="37"/>
      <c r="C42" s="37"/>
      <c r="D42" s="38" t="s">
        <v>27</v>
      </c>
      <c r="E42" s="38"/>
      <c r="F42" s="38"/>
      <c r="G42" s="38"/>
      <c r="H42" s="38"/>
      <c r="I42" s="38"/>
      <c r="J42" s="38"/>
      <c r="K42" s="38"/>
      <c r="L42" s="38"/>
      <c r="M42" s="39" t="str">
        <f>M2</f>
        <v>FORM STR 03
REVISION NO 01</v>
      </c>
      <c r="N42" s="39"/>
      <c r="O42" s="39"/>
      <c r="P42" s="39"/>
      <c r="Q42" s="10"/>
      <c r="W42" t="s">
        <v>111</v>
      </c>
    </row>
    <row r="43" spans="1:23" ht="22.15" customHeight="1" x14ac:dyDescent="0.25">
      <c r="A43" s="37"/>
      <c r="B43" s="37"/>
      <c r="C43" s="37"/>
      <c r="D43" s="38"/>
      <c r="E43" s="38"/>
      <c r="F43" s="38"/>
      <c r="G43" s="38"/>
      <c r="H43" s="38"/>
      <c r="I43" s="38"/>
      <c r="J43" s="38"/>
      <c r="K43" s="38"/>
      <c r="L43" s="38"/>
      <c r="M43" s="39"/>
      <c r="N43" s="39"/>
      <c r="O43" s="39"/>
      <c r="P43" s="39"/>
      <c r="Q43" s="10"/>
    </row>
    <row r="44" spans="1:23" ht="17.45" customHeight="1" x14ac:dyDescent="0.25">
      <c r="A44" s="40"/>
      <c r="B44" s="40"/>
      <c r="C44" s="40"/>
      <c r="D44" s="41" t="s">
        <v>21</v>
      </c>
      <c r="E44" s="41"/>
      <c r="F44" s="41"/>
      <c r="G44" s="41"/>
      <c r="H44" s="41"/>
      <c r="I44" s="41"/>
      <c r="J44" s="41"/>
      <c r="K44" s="41"/>
      <c r="L44" s="41"/>
      <c r="M44" s="11"/>
    </row>
    <row r="45" spans="1:23" ht="22.15" customHeight="1" thickBot="1" x14ac:dyDescent="0.35">
      <c r="A45" s="42"/>
      <c r="B45" s="42"/>
      <c r="C45" s="1"/>
      <c r="D45" s="43" t="s">
        <v>90</v>
      </c>
      <c r="E45" s="43"/>
      <c r="F45" s="43"/>
      <c r="G45" s="43"/>
      <c r="H45" s="43"/>
      <c r="I45" s="43"/>
      <c r="J45" s="43"/>
      <c r="K45" s="43"/>
      <c r="L45" s="43"/>
      <c r="M45" s="2"/>
      <c r="N45" s="37"/>
      <c r="O45" s="37"/>
      <c r="P45" s="37"/>
    </row>
    <row r="46" spans="1:23" ht="15.6" customHeight="1" thickBot="1" x14ac:dyDescent="0.35">
      <c r="A46" s="71" t="s">
        <v>9</v>
      </c>
      <c r="B46" s="72"/>
      <c r="C46" s="73" t="str">
        <f>C6</f>
        <v>O541</v>
      </c>
      <c r="D46" s="73"/>
      <c r="E46" s="73"/>
      <c r="F46" s="74"/>
      <c r="G46" s="2"/>
      <c r="H46" s="75" t="s">
        <v>4</v>
      </c>
      <c r="I46" s="76"/>
      <c r="J46" s="76"/>
      <c r="K46" s="8" t="s">
        <v>7</v>
      </c>
      <c r="L46" s="77" t="str">
        <f>L6</f>
        <v>JP 523798</v>
      </c>
      <c r="M46" s="77"/>
      <c r="N46" s="77"/>
      <c r="O46" s="77"/>
      <c r="P46" s="78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52" t="s">
        <v>5</v>
      </c>
      <c r="I47" s="53"/>
      <c r="J47" s="53"/>
      <c r="K47" s="9" t="s">
        <v>7</v>
      </c>
      <c r="L47" s="79">
        <f ca="1">L7</f>
        <v>45689.589567129631</v>
      </c>
      <c r="M47" s="79"/>
      <c r="N47" s="79"/>
      <c r="O47" s="79"/>
      <c r="P47" s="80"/>
      <c r="R47" s="88"/>
      <c r="S47" s="88"/>
      <c r="T47" s="147"/>
      <c r="U47" s="26"/>
      <c r="V47" s="147"/>
    </row>
    <row r="48" spans="1:23" ht="18" customHeight="1" x14ac:dyDescent="0.3">
      <c r="A48" s="46" t="str">
        <f>A8</f>
        <v>Summit Alliance Port Limited (OCL).
Katghar, North Patenga, Chitagong.</v>
      </c>
      <c r="B48" s="47"/>
      <c r="C48" s="47"/>
      <c r="D48" s="47"/>
      <c r="E48" s="47"/>
      <c r="F48" s="48"/>
      <c r="G48" s="2"/>
      <c r="H48" s="52" t="s">
        <v>8</v>
      </c>
      <c r="I48" s="53"/>
      <c r="J48" s="53"/>
      <c r="K48" s="9" t="s">
        <v>7</v>
      </c>
      <c r="L48" s="54" t="str">
        <f>L8</f>
        <v>SEA</v>
      </c>
      <c r="M48" s="54"/>
      <c r="N48" s="54"/>
      <c r="O48" s="54"/>
      <c r="P48" s="55"/>
      <c r="R48" s="88"/>
      <c r="S48" s="88"/>
      <c r="T48" s="148"/>
      <c r="U48" s="26"/>
      <c r="V48" s="148"/>
    </row>
    <row r="49" spans="1:22" ht="17.45" customHeight="1" x14ac:dyDescent="0.3">
      <c r="A49" s="46"/>
      <c r="B49" s="47"/>
      <c r="C49" s="47"/>
      <c r="D49" s="47"/>
      <c r="E49" s="47"/>
      <c r="F49" s="48"/>
      <c r="G49" s="2"/>
      <c r="H49" s="56" t="s">
        <v>6</v>
      </c>
      <c r="I49" s="57"/>
      <c r="J49" s="57"/>
      <c r="K49" s="62" t="s">
        <v>7</v>
      </c>
      <c r="L49" s="65" t="str">
        <f>L9</f>
        <v>M/S. Kabir &amp; Co.
1104DT Road West Madarbari,
Chattogram, Bangladesh.</v>
      </c>
      <c r="M49" s="65"/>
      <c r="N49" s="65"/>
      <c r="O49" s="65"/>
      <c r="P49" s="66"/>
      <c r="R49" s="88"/>
      <c r="S49" s="88"/>
      <c r="T49" s="148"/>
      <c r="U49" s="26"/>
      <c r="V49" s="148"/>
    </row>
    <row r="50" spans="1:22" ht="18" thickBot="1" x14ac:dyDescent="0.35">
      <c r="A50" s="49"/>
      <c r="B50" s="50"/>
      <c r="C50" s="50"/>
      <c r="D50" s="50"/>
      <c r="E50" s="50"/>
      <c r="F50" s="51"/>
      <c r="G50" s="2"/>
      <c r="H50" s="58"/>
      <c r="I50" s="59"/>
      <c r="J50" s="59"/>
      <c r="K50" s="63"/>
      <c r="L50" s="67"/>
      <c r="M50" s="67"/>
      <c r="N50" s="67"/>
      <c r="O50" s="67"/>
      <c r="P50" s="68"/>
      <c r="R50" s="88"/>
      <c r="S50" s="88"/>
      <c r="T50" s="147"/>
      <c r="U50" s="26"/>
      <c r="V50" s="147"/>
    </row>
    <row r="51" spans="1:22" ht="18" customHeight="1" thickBot="1" x14ac:dyDescent="0.35">
      <c r="A51" s="42"/>
      <c r="B51" s="42"/>
      <c r="C51" s="1"/>
      <c r="D51" s="2"/>
      <c r="E51" s="2"/>
      <c r="F51" s="2"/>
      <c r="G51" s="2"/>
      <c r="H51" s="60"/>
      <c r="I51" s="61"/>
      <c r="J51" s="61"/>
      <c r="K51" s="64"/>
      <c r="L51" s="69"/>
      <c r="M51" s="69"/>
      <c r="N51" s="69"/>
      <c r="O51" s="69"/>
      <c r="P51" s="70"/>
      <c r="R51" s="88"/>
      <c r="S51" s="88"/>
      <c r="T51" s="147"/>
      <c r="U51" s="26"/>
      <c r="V51" s="148"/>
    </row>
    <row r="52" spans="1:22" ht="16.149999999999999" customHeight="1" x14ac:dyDescent="0.25">
      <c r="A52" s="103" t="s">
        <v>12</v>
      </c>
      <c r="B52" s="104"/>
      <c r="C52" s="105" t="s">
        <v>0</v>
      </c>
      <c r="D52" s="105"/>
      <c r="E52" s="105"/>
      <c r="F52" s="105"/>
      <c r="G52" s="105"/>
      <c r="H52" s="81" t="s">
        <v>1</v>
      </c>
      <c r="I52" s="82"/>
      <c r="J52" s="82"/>
      <c r="K52" s="82"/>
      <c r="L52" s="83"/>
      <c r="M52" s="84" t="s">
        <v>16</v>
      </c>
      <c r="N52" s="85"/>
      <c r="O52" s="86"/>
      <c r="P52" s="93" t="s">
        <v>3</v>
      </c>
      <c r="R52" s="88"/>
      <c r="S52" s="88"/>
      <c r="T52" s="147"/>
      <c r="U52" s="26"/>
      <c r="V52" s="148"/>
    </row>
    <row r="53" spans="1:22" ht="16.149999999999999" customHeight="1" x14ac:dyDescent="0.25">
      <c r="A53" s="3" t="s">
        <v>13</v>
      </c>
      <c r="B53" s="33">
        <f>B13</f>
        <v>1</v>
      </c>
      <c r="C53" s="96" t="str">
        <f>C13</f>
        <v>Delivery of Readymade Garments</v>
      </c>
      <c r="D53" s="96"/>
      <c r="E53" s="96"/>
      <c r="F53" s="96"/>
      <c r="G53" s="96"/>
      <c r="H53" s="97" t="s">
        <v>2</v>
      </c>
      <c r="I53" s="98"/>
      <c r="J53" s="99"/>
      <c r="K53" s="97" t="s">
        <v>15</v>
      </c>
      <c r="L53" s="99"/>
      <c r="M53" s="87"/>
      <c r="N53" s="88"/>
      <c r="O53" s="89"/>
      <c r="P53" s="94"/>
      <c r="R53" s="88"/>
      <c r="S53" s="88"/>
      <c r="T53" s="147"/>
      <c r="V53" s="147"/>
    </row>
    <row r="54" spans="1:22" ht="16.149999999999999" customHeight="1" thickBot="1" x14ac:dyDescent="0.3">
      <c r="A54" s="113" t="s">
        <v>11</v>
      </c>
      <c r="B54" s="114"/>
      <c r="C54" s="115" t="str">
        <f>C14</f>
        <v>H &amp; M</v>
      </c>
      <c r="D54" s="116"/>
      <c r="E54" s="117" t="s">
        <v>88</v>
      </c>
      <c r="F54" s="118"/>
      <c r="G54" s="114"/>
      <c r="H54" s="100"/>
      <c r="I54" s="101"/>
      <c r="J54" s="102"/>
      <c r="K54" s="100"/>
      <c r="L54" s="102"/>
      <c r="M54" s="90"/>
      <c r="N54" s="91"/>
      <c r="O54" s="92"/>
      <c r="P54" s="95"/>
      <c r="R54" s="88"/>
      <c r="S54" s="88"/>
      <c r="T54" s="147"/>
      <c r="V54" s="148"/>
    </row>
    <row r="55" spans="1:22" ht="25.15" customHeight="1" x14ac:dyDescent="0.25">
      <c r="A55" s="31">
        <f>A15</f>
        <v>0</v>
      </c>
      <c r="B55" s="119" t="str">
        <f>B15</f>
        <v>324414-5832</v>
      </c>
      <c r="C55" s="119"/>
      <c r="D55" s="119"/>
      <c r="E55" s="119"/>
      <c r="F55" s="119"/>
      <c r="G55" s="119"/>
      <c r="H55" s="120">
        <f>H15</f>
        <v>10</v>
      </c>
      <c r="I55" s="121"/>
      <c r="J55" s="122"/>
      <c r="K55" s="123">
        <f>K15</f>
        <v>382</v>
      </c>
      <c r="L55" s="124"/>
      <c r="M55" s="106" t="str">
        <f>M15</f>
        <v>OIW243,OIW404</v>
      </c>
      <c r="N55" s="107"/>
      <c r="O55" s="108"/>
      <c r="P55" s="35">
        <f>P15</f>
        <v>0</v>
      </c>
      <c r="R55" s="88"/>
      <c r="S55" s="88"/>
      <c r="T55" s="147"/>
      <c r="V55" s="148"/>
    </row>
    <row r="56" spans="1:22" ht="25.15" customHeight="1" x14ac:dyDescent="0.25">
      <c r="A56" s="32">
        <f>A16</f>
        <v>0</v>
      </c>
      <c r="B56" s="109" t="str">
        <f>B16</f>
        <v>988034-5828</v>
      </c>
      <c r="C56" s="109"/>
      <c r="D56" s="109"/>
      <c r="E56" s="109"/>
      <c r="F56" s="109"/>
      <c r="G56" s="109"/>
      <c r="H56" s="110">
        <f>H16</f>
        <v>4</v>
      </c>
      <c r="I56" s="110"/>
      <c r="J56" s="110"/>
      <c r="K56" s="111">
        <f>K16</f>
        <v>224</v>
      </c>
      <c r="L56" s="111"/>
      <c r="M56" s="112" t="str">
        <f t="shared" ref="M56:M74" si="0">M16</f>
        <v>UY</v>
      </c>
      <c r="N56" s="112"/>
      <c r="O56" s="112"/>
      <c r="P56" s="35">
        <f>P16</f>
        <v>0</v>
      </c>
      <c r="R56" s="88"/>
      <c r="S56" s="88"/>
      <c r="T56" s="67"/>
      <c r="V56" s="147"/>
    </row>
    <row r="57" spans="1:22" ht="25.15" customHeight="1" x14ac:dyDescent="0.25">
      <c r="A57" s="32">
        <f t="shared" ref="A57:B72" si="1">A17</f>
        <v>0</v>
      </c>
      <c r="B57" s="109" t="str">
        <f t="shared" si="1"/>
        <v>318091-5828</v>
      </c>
      <c r="C57" s="109"/>
      <c r="D57" s="109"/>
      <c r="E57" s="109"/>
      <c r="F57" s="109"/>
      <c r="G57" s="109"/>
      <c r="H57" s="110">
        <f>H17</f>
        <v>18</v>
      </c>
      <c r="I57" s="110"/>
      <c r="J57" s="110"/>
      <c r="K57" s="111">
        <f>K17</f>
        <v>791</v>
      </c>
      <c r="L57" s="111"/>
      <c r="M57" s="112" t="str">
        <f t="shared" si="0"/>
        <v>CA</v>
      </c>
      <c r="N57" s="112"/>
      <c r="O57" s="112"/>
      <c r="P57" s="35">
        <f t="shared" ref="P57:P74" si="2">P17</f>
        <v>0</v>
      </c>
      <c r="R57" s="88"/>
      <c r="S57" s="88"/>
      <c r="T57" s="67"/>
      <c r="V57" s="148"/>
    </row>
    <row r="58" spans="1:22" ht="25.15" customHeight="1" x14ac:dyDescent="0.25">
      <c r="A58" s="32">
        <f t="shared" si="1"/>
        <v>0</v>
      </c>
      <c r="B58" s="109" t="str">
        <f t="shared" si="1"/>
        <v>321792-7272</v>
      </c>
      <c r="C58" s="109"/>
      <c r="D58" s="109"/>
      <c r="E58" s="109"/>
      <c r="F58" s="109"/>
      <c r="G58" s="109"/>
      <c r="H58" s="110">
        <f t="shared" ref="H58:H74" si="3">H18</f>
        <v>53</v>
      </c>
      <c r="I58" s="110"/>
      <c r="J58" s="110"/>
      <c r="K58" s="111">
        <f t="shared" ref="K58:K74" si="4">K18</f>
        <v>2850</v>
      </c>
      <c r="L58" s="111"/>
      <c r="M58" s="112" t="str">
        <f t="shared" si="0"/>
        <v>IN</v>
      </c>
      <c r="N58" s="112"/>
      <c r="O58" s="112"/>
      <c r="P58" s="35">
        <f t="shared" si="2"/>
        <v>0</v>
      </c>
      <c r="R58" s="88"/>
      <c r="S58" s="88"/>
      <c r="T58" s="67"/>
      <c r="V58" s="148"/>
    </row>
    <row r="59" spans="1:22" ht="25.15" customHeight="1" x14ac:dyDescent="0.25">
      <c r="A59" s="32">
        <f t="shared" si="1"/>
        <v>0</v>
      </c>
      <c r="B59" s="109" t="str">
        <f t="shared" si="1"/>
        <v>325380-5832</v>
      </c>
      <c r="C59" s="109"/>
      <c r="D59" s="109"/>
      <c r="E59" s="109"/>
      <c r="F59" s="109"/>
      <c r="G59" s="109"/>
      <c r="H59" s="110">
        <f t="shared" si="3"/>
        <v>20</v>
      </c>
      <c r="I59" s="110"/>
      <c r="J59" s="110"/>
      <c r="K59" s="111">
        <f t="shared" si="4"/>
        <v>1263</v>
      </c>
      <c r="L59" s="111"/>
      <c r="M59" s="112" t="str">
        <f t="shared" si="0"/>
        <v>OEW174</v>
      </c>
      <c r="N59" s="112"/>
      <c r="O59" s="112"/>
      <c r="P59" s="35">
        <f t="shared" si="2"/>
        <v>0</v>
      </c>
      <c r="R59" s="88"/>
      <c r="S59" s="88"/>
      <c r="T59" s="67"/>
      <c r="V59" s="147"/>
    </row>
    <row r="60" spans="1:22" ht="25.15" customHeight="1" x14ac:dyDescent="0.25">
      <c r="A60" s="32">
        <f t="shared" si="1"/>
        <v>0</v>
      </c>
      <c r="B60" s="109" t="str">
        <f t="shared" si="1"/>
        <v>987328-1643</v>
      </c>
      <c r="C60" s="109"/>
      <c r="D60" s="109"/>
      <c r="E60" s="109"/>
      <c r="F60" s="109"/>
      <c r="G60" s="109"/>
      <c r="H60" s="110">
        <f t="shared" si="3"/>
        <v>3</v>
      </c>
      <c r="I60" s="110"/>
      <c r="J60" s="110"/>
      <c r="K60" s="111">
        <f t="shared" si="4"/>
        <v>66</v>
      </c>
      <c r="L60" s="111"/>
      <c r="M60" s="112" t="str">
        <f t="shared" si="0"/>
        <v>UY</v>
      </c>
      <c r="N60" s="112"/>
      <c r="O60" s="112"/>
      <c r="P60" s="35">
        <f t="shared" si="2"/>
        <v>0</v>
      </c>
      <c r="R60" s="88"/>
      <c r="S60" s="88"/>
      <c r="T60" s="67"/>
      <c r="V60" s="148"/>
    </row>
    <row r="61" spans="1:22" ht="25.15" customHeight="1" x14ac:dyDescent="0.25">
      <c r="A61" s="32">
        <f t="shared" si="1"/>
        <v>0</v>
      </c>
      <c r="B61" s="109" t="str">
        <f t="shared" si="1"/>
        <v>307395-5832</v>
      </c>
      <c r="C61" s="109"/>
      <c r="D61" s="109"/>
      <c r="E61" s="109"/>
      <c r="F61" s="109"/>
      <c r="G61" s="109"/>
      <c r="H61" s="110">
        <f t="shared" si="3"/>
        <v>4</v>
      </c>
      <c r="I61" s="110"/>
      <c r="J61" s="110"/>
      <c r="K61" s="111">
        <f t="shared" si="4"/>
        <v>281</v>
      </c>
      <c r="L61" s="111"/>
      <c r="M61" s="112" t="str">
        <f t="shared" si="0"/>
        <v>CA</v>
      </c>
      <c r="N61" s="112"/>
      <c r="O61" s="112"/>
      <c r="P61" s="35">
        <f t="shared" si="2"/>
        <v>0</v>
      </c>
      <c r="R61" s="88"/>
      <c r="S61" s="88"/>
      <c r="T61" s="67"/>
      <c r="V61" s="148"/>
    </row>
    <row r="62" spans="1:22" ht="25.15" customHeight="1" x14ac:dyDescent="0.25">
      <c r="A62" s="32">
        <f t="shared" si="1"/>
        <v>0</v>
      </c>
      <c r="B62" s="109" t="str">
        <f t="shared" si="1"/>
        <v>982994-5832</v>
      </c>
      <c r="C62" s="109"/>
      <c r="D62" s="109"/>
      <c r="E62" s="109"/>
      <c r="F62" s="109"/>
      <c r="G62" s="109"/>
      <c r="H62" s="110">
        <f t="shared" si="3"/>
        <v>1</v>
      </c>
      <c r="I62" s="110"/>
      <c r="J62" s="110"/>
      <c r="K62" s="111">
        <f t="shared" si="4"/>
        <v>13</v>
      </c>
      <c r="L62" s="111"/>
      <c r="M62" s="112" t="str">
        <f t="shared" si="0"/>
        <v>ZA</v>
      </c>
      <c r="N62" s="112"/>
      <c r="O62" s="112"/>
      <c r="P62" s="35">
        <f t="shared" si="2"/>
        <v>0</v>
      </c>
      <c r="R62" s="88"/>
      <c r="S62" s="88"/>
      <c r="T62" s="67"/>
    </row>
    <row r="63" spans="1:22" ht="25.15" customHeight="1" x14ac:dyDescent="0.25">
      <c r="A63" s="32">
        <f t="shared" si="1"/>
        <v>0</v>
      </c>
      <c r="B63" s="109" t="str">
        <f t="shared" si="1"/>
        <v>309266-5828</v>
      </c>
      <c r="C63" s="109"/>
      <c r="D63" s="109"/>
      <c r="E63" s="109"/>
      <c r="F63" s="109"/>
      <c r="G63" s="109"/>
      <c r="H63" s="110">
        <f t="shared" si="3"/>
        <v>8</v>
      </c>
      <c r="I63" s="110"/>
      <c r="J63" s="110"/>
      <c r="K63" s="111">
        <f t="shared" si="4"/>
        <v>372</v>
      </c>
      <c r="L63" s="111"/>
      <c r="M63" s="112" t="str">
        <f t="shared" si="0"/>
        <v>CA</v>
      </c>
      <c r="N63" s="112"/>
      <c r="O63" s="112"/>
      <c r="P63" s="35">
        <f t="shared" si="2"/>
        <v>0</v>
      </c>
      <c r="R63" s="88"/>
      <c r="S63" s="88"/>
      <c r="T63" s="67"/>
    </row>
    <row r="64" spans="1:22" ht="25.15" customHeight="1" x14ac:dyDescent="0.25">
      <c r="A64" s="32">
        <f t="shared" si="1"/>
        <v>0</v>
      </c>
      <c r="B64" s="109" t="str">
        <f t="shared" si="1"/>
        <v>994036-1643</v>
      </c>
      <c r="C64" s="109"/>
      <c r="D64" s="109"/>
      <c r="E64" s="109"/>
      <c r="F64" s="109"/>
      <c r="G64" s="109"/>
      <c r="H64" s="110">
        <f t="shared" si="3"/>
        <v>1</v>
      </c>
      <c r="I64" s="110"/>
      <c r="J64" s="110"/>
      <c r="K64" s="111">
        <f t="shared" si="4"/>
        <v>155</v>
      </c>
      <c r="L64" s="111"/>
      <c r="M64" s="112" t="str">
        <f t="shared" si="0"/>
        <v>UY</v>
      </c>
      <c r="N64" s="112"/>
      <c r="O64" s="112"/>
      <c r="P64" s="35">
        <f t="shared" si="2"/>
        <v>0</v>
      </c>
      <c r="R64" s="88"/>
      <c r="S64" s="88"/>
      <c r="T64" s="67"/>
    </row>
    <row r="65" spans="1:20" ht="25.15" customHeight="1" x14ac:dyDescent="0.25">
      <c r="A65" s="32">
        <f t="shared" si="1"/>
        <v>0</v>
      </c>
      <c r="B65" s="109" t="str">
        <f t="shared" si="1"/>
        <v>992979-3932</v>
      </c>
      <c r="C65" s="109"/>
      <c r="D65" s="109"/>
      <c r="E65" s="109"/>
      <c r="F65" s="109"/>
      <c r="G65" s="109"/>
      <c r="H65" s="110">
        <f t="shared" si="3"/>
        <v>17</v>
      </c>
      <c r="I65" s="110"/>
      <c r="J65" s="110"/>
      <c r="K65" s="111">
        <f t="shared" si="4"/>
        <v>387</v>
      </c>
      <c r="L65" s="111"/>
      <c r="M65" s="112" t="str">
        <f t="shared" si="0"/>
        <v>UY</v>
      </c>
      <c r="N65" s="112"/>
      <c r="O65" s="112"/>
      <c r="P65" s="35">
        <f t="shared" si="2"/>
        <v>0</v>
      </c>
      <c r="R65" s="88"/>
      <c r="S65" s="88"/>
      <c r="T65" s="67"/>
    </row>
    <row r="66" spans="1:20" ht="25.15" customHeight="1" x14ac:dyDescent="0.25">
      <c r="A66" s="32">
        <f t="shared" si="1"/>
        <v>0</v>
      </c>
      <c r="B66" s="109" t="str">
        <f t="shared" si="1"/>
        <v>324417-5832</v>
      </c>
      <c r="C66" s="109"/>
      <c r="D66" s="109"/>
      <c r="E66" s="109"/>
      <c r="F66" s="109"/>
      <c r="G66" s="109"/>
      <c r="H66" s="110">
        <f t="shared" si="3"/>
        <v>10</v>
      </c>
      <c r="I66" s="110"/>
      <c r="J66" s="110"/>
      <c r="K66" s="111">
        <f t="shared" si="4"/>
        <v>526</v>
      </c>
      <c r="L66" s="111"/>
      <c r="M66" s="112" t="str">
        <f t="shared" si="0"/>
        <v>IN</v>
      </c>
      <c r="N66" s="112"/>
      <c r="O66" s="112"/>
      <c r="P66" s="35">
        <f t="shared" si="2"/>
        <v>0</v>
      </c>
      <c r="R66" s="88"/>
      <c r="S66" s="88"/>
      <c r="T66" s="67"/>
    </row>
    <row r="67" spans="1:20" ht="25.15" customHeight="1" x14ac:dyDescent="0.25">
      <c r="A67" s="32">
        <f t="shared" si="1"/>
        <v>0</v>
      </c>
      <c r="B67" s="109" t="str">
        <f t="shared" si="1"/>
        <v>324416-5832</v>
      </c>
      <c r="C67" s="109"/>
      <c r="D67" s="109"/>
      <c r="E67" s="109"/>
      <c r="F67" s="109"/>
      <c r="G67" s="109"/>
      <c r="H67" s="110">
        <f t="shared" si="3"/>
        <v>8</v>
      </c>
      <c r="I67" s="110"/>
      <c r="J67" s="110"/>
      <c r="K67" s="111">
        <f t="shared" si="4"/>
        <v>384</v>
      </c>
      <c r="L67" s="111"/>
      <c r="M67" s="112" t="str">
        <f t="shared" si="0"/>
        <v>IN</v>
      </c>
      <c r="N67" s="112"/>
      <c r="O67" s="112"/>
      <c r="P67" s="35">
        <f t="shared" si="2"/>
        <v>0</v>
      </c>
      <c r="R67" s="88"/>
      <c r="S67" s="88"/>
      <c r="T67" s="67"/>
    </row>
    <row r="68" spans="1:20" ht="25.15" customHeight="1" x14ac:dyDescent="0.25">
      <c r="A68" s="32">
        <f t="shared" si="1"/>
        <v>0</v>
      </c>
      <c r="B68" s="109" t="str">
        <f t="shared" si="1"/>
        <v>986373-1643</v>
      </c>
      <c r="C68" s="109"/>
      <c r="D68" s="109"/>
      <c r="E68" s="109"/>
      <c r="F68" s="109"/>
      <c r="G68" s="109"/>
      <c r="H68" s="110">
        <f t="shared" si="3"/>
        <v>7</v>
      </c>
      <c r="I68" s="110"/>
      <c r="J68" s="110"/>
      <c r="K68" s="111">
        <f t="shared" si="4"/>
        <v>150</v>
      </c>
      <c r="L68" s="111"/>
      <c r="M68" s="112" t="str">
        <f t="shared" si="0"/>
        <v>UY</v>
      </c>
      <c r="N68" s="112"/>
      <c r="O68" s="112"/>
      <c r="P68" s="35">
        <f t="shared" si="2"/>
        <v>0</v>
      </c>
      <c r="R68" s="88"/>
      <c r="S68" s="88"/>
      <c r="T68" s="67"/>
    </row>
    <row r="69" spans="1:20" ht="25.15" customHeight="1" x14ac:dyDescent="0.25">
      <c r="A69" s="32">
        <f t="shared" si="1"/>
        <v>0</v>
      </c>
      <c r="B69" s="109" t="str">
        <f t="shared" si="1"/>
        <v>983065-5832</v>
      </c>
      <c r="C69" s="109"/>
      <c r="D69" s="109"/>
      <c r="E69" s="109"/>
      <c r="F69" s="109"/>
      <c r="G69" s="109"/>
      <c r="H69" s="110">
        <f t="shared" si="3"/>
        <v>1</v>
      </c>
      <c r="I69" s="110"/>
      <c r="J69" s="110"/>
      <c r="K69" s="111">
        <f t="shared" si="4"/>
        <v>70</v>
      </c>
      <c r="L69" s="111"/>
      <c r="M69" s="112" t="str">
        <f t="shared" si="0"/>
        <v>UY</v>
      </c>
      <c r="N69" s="112"/>
      <c r="O69" s="112"/>
      <c r="P69" s="35">
        <f t="shared" si="2"/>
        <v>0</v>
      </c>
      <c r="R69" s="88"/>
      <c r="S69" s="88"/>
      <c r="T69" s="67"/>
    </row>
    <row r="70" spans="1:20" ht="25.15" customHeight="1" x14ac:dyDescent="0.25">
      <c r="A70" s="32">
        <f t="shared" si="1"/>
        <v>0</v>
      </c>
      <c r="B70" s="109" t="str">
        <f t="shared" si="1"/>
        <v>983063-5832</v>
      </c>
      <c r="C70" s="109"/>
      <c r="D70" s="109"/>
      <c r="E70" s="109"/>
      <c r="F70" s="109"/>
      <c r="G70" s="109"/>
      <c r="H70" s="110">
        <f t="shared" si="3"/>
        <v>2</v>
      </c>
      <c r="I70" s="110"/>
      <c r="J70" s="110"/>
      <c r="K70" s="111">
        <f t="shared" si="4"/>
        <v>93</v>
      </c>
      <c r="L70" s="111"/>
      <c r="M70" s="112" t="str">
        <f t="shared" si="0"/>
        <v>UY</v>
      </c>
      <c r="N70" s="112"/>
      <c r="O70" s="112"/>
      <c r="P70" s="35">
        <f t="shared" si="2"/>
        <v>0</v>
      </c>
      <c r="R70" s="88"/>
      <c r="S70" s="88"/>
      <c r="T70" s="67"/>
    </row>
    <row r="71" spans="1:20" ht="25.15" customHeight="1" x14ac:dyDescent="0.25">
      <c r="A71" s="32">
        <f t="shared" si="1"/>
        <v>0</v>
      </c>
      <c r="B71" s="109" t="str">
        <f t="shared" si="1"/>
        <v>297320-5828</v>
      </c>
      <c r="C71" s="109"/>
      <c r="D71" s="109"/>
      <c r="E71" s="109"/>
      <c r="F71" s="109"/>
      <c r="G71" s="109"/>
      <c r="H71" s="110">
        <f t="shared" si="3"/>
        <v>42</v>
      </c>
      <c r="I71" s="110"/>
      <c r="J71" s="110"/>
      <c r="K71" s="111">
        <f t="shared" si="4"/>
        <v>2160</v>
      </c>
      <c r="L71" s="111"/>
      <c r="M71" s="112" t="str">
        <f t="shared" si="0"/>
        <v>CA</v>
      </c>
      <c r="N71" s="112"/>
      <c r="O71" s="112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09" t="str">
        <f t="shared" si="1"/>
        <v>973838-5833</v>
      </c>
      <c r="C72" s="109"/>
      <c r="D72" s="109"/>
      <c r="E72" s="109"/>
      <c r="F72" s="109"/>
      <c r="G72" s="109"/>
      <c r="H72" s="110">
        <f t="shared" si="3"/>
        <v>9</v>
      </c>
      <c r="I72" s="110"/>
      <c r="J72" s="110"/>
      <c r="K72" s="111">
        <f t="shared" si="4"/>
        <v>213</v>
      </c>
      <c r="L72" s="111"/>
      <c r="M72" s="112" t="str">
        <f t="shared" si="0"/>
        <v>ZA</v>
      </c>
      <c r="N72" s="112"/>
      <c r="O72" s="112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09" t="str">
        <f t="shared" si="5"/>
        <v>309649-5832</v>
      </c>
      <c r="C73" s="109"/>
      <c r="D73" s="109"/>
      <c r="E73" s="109"/>
      <c r="F73" s="109"/>
      <c r="G73" s="109"/>
      <c r="H73" s="110">
        <f t="shared" si="3"/>
        <v>15</v>
      </c>
      <c r="I73" s="110"/>
      <c r="J73" s="110"/>
      <c r="K73" s="111">
        <f t="shared" si="4"/>
        <v>736</v>
      </c>
      <c r="L73" s="111"/>
      <c r="M73" s="112" t="str">
        <f t="shared" si="0"/>
        <v>DR</v>
      </c>
      <c r="N73" s="112"/>
      <c r="O73" s="112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09" t="str">
        <f t="shared" si="5"/>
        <v>325717-5832</v>
      </c>
      <c r="C74" s="109"/>
      <c r="D74" s="109"/>
      <c r="E74" s="109"/>
      <c r="F74" s="109"/>
      <c r="G74" s="109"/>
      <c r="H74" s="110">
        <f t="shared" si="3"/>
        <v>26</v>
      </c>
      <c r="I74" s="110"/>
      <c r="J74" s="110"/>
      <c r="K74" s="111">
        <f t="shared" si="4"/>
        <v>2974</v>
      </c>
      <c r="L74" s="111"/>
      <c r="M74" s="112" t="str">
        <f t="shared" si="0"/>
        <v>IN</v>
      </c>
      <c r="N74" s="112"/>
      <c r="O74" s="112"/>
      <c r="P74" s="35">
        <f t="shared" si="2"/>
        <v>0</v>
      </c>
    </row>
    <row r="75" spans="1:20" ht="21.95" customHeight="1" thickBot="1" x14ac:dyDescent="0.3">
      <c r="A75" s="126" t="s">
        <v>17</v>
      </c>
      <c r="B75" s="127"/>
      <c r="C75" s="127"/>
      <c r="D75" s="127"/>
      <c r="E75" s="127"/>
      <c r="F75" s="127"/>
      <c r="G75" s="116"/>
      <c r="H75" s="128">
        <f>SUM(H55:J74)</f>
        <v>259</v>
      </c>
      <c r="I75" s="129"/>
      <c r="J75" s="130"/>
      <c r="K75" s="131">
        <f>SUM(K55:L74)</f>
        <v>14090</v>
      </c>
      <c r="L75" s="132"/>
      <c r="M75" s="133"/>
      <c r="N75" s="134"/>
      <c r="O75" s="135"/>
      <c r="P75" s="19"/>
    </row>
    <row r="77" spans="1:20" ht="31.9" customHeight="1" x14ac:dyDescent="0.25">
      <c r="A77" s="137" t="s">
        <v>22</v>
      </c>
      <c r="B77" s="138"/>
      <c r="C77" s="138"/>
      <c r="D77" s="139" t="str">
        <f>D37</f>
        <v>MD.JAMSHED</v>
      </c>
      <c r="E77" s="139"/>
      <c r="F77" s="139"/>
      <c r="G77" s="138" t="s">
        <v>23</v>
      </c>
      <c r="H77" s="138"/>
      <c r="I77" s="138"/>
      <c r="J77" s="138"/>
      <c r="K77" s="138"/>
      <c r="L77" s="138"/>
      <c r="M77" s="140" t="str">
        <f>M37</f>
        <v>01831-013822</v>
      </c>
      <c r="N77" s="140"/>
      <c r="O77" s="140"/>
      <c r="P77" s="141"/>
    </row>
    <row r="78" spans="1:20" ht="31.9" customHeight="1" x14ac:dyDescent="0.25">
      <c r="A78" s="142" t="s">
        <v>24</v>
      </c>
      <c r="B78" s="143"/>
      <c r="C78" s="143"/>
      <c r="D78" s="144" t="str">
        <f>D38</f>
        <v>LT0001</v>
      </c>
      <c r="E78" s="144"/>
      <c r="F78" s="144"/>
      <c r="G78" s="143" t="s">
        <v>25</v>
      </c>
      <c r="H78" s="143"/>
      <c r="I78" s="143"/>
      <c r="J78" s="143"/>
      <c r="K78" s="143"/>
      <c r="L78" s="143"/>
      <c r="M78" s="145" t="str">
        <f>M38</f>
        <v>D.M.TA 13-5578</v>
      </c>
      <c r="N78" s="145"/>
      <c r="O78" s="145"/>
      <c r="P78" s="146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36" t="s">
        <v>18</v>
      </c>
      <c r="B80" s="136"/>
      <c r="C80" s="136"/>
      <c r="D80" s="4"/>
      <c r="E80" s="4"/>
      <c r="F80" s="136" t="s">
        <v>19</v>
      </c>
      <c r="G80" s="136"/>
      <c r="H80" s="36"/>
      <c r="I80" s="36"/>
      <c r="J80" s="36"/>
      <c r="K80" s="4"/>
      <c r="L80" s="136" t="s">
        <v>20</v>
      </c>
      <c r="M80" s="136"/>
      <c r="N80" s="136"/>
      <c r="O80" s="136"/>
      <c r="P80" s="136"/>
    </row>
    <row r="81" spans="1:22" ht="8.25" customHeight="1" x14ac:dyDescent="0.25"/>
    <row r="82" spans="1:22" ht="36.75" customHeight="1" x14ac:dyDescent="0.25">
      <c r="A82" s="37"/>
      <c r="B82" s="37"/>
      <c r="C82" s="37"/>
      <c r="D82" s="38" t="s">
        <v>27</v>
      </c>
      <c r="E82" s="38"/>
      <c r="F82" s="38"/>
      <c r="G82" s="38"/>
      <c r="H82" s="38"/>
      <c r="I82" s="38"/>
      <c r="J82" s="38"/>
      <c r="K82" s="38"/>
      <c r="L82" s="38"/>
      <c r="M82" s="39" t="str">
        <f>M42</f>
        <v>FORM STR 03
REVISION NO 01</v>
      </c>
      <c r="N82" s="39"/>
      <c r="O82" s="39"/>
      <c r="P82" s="39"/>
      <c r="Q82" s="10"/>
    </row>
    <row r="83" spans="1:22" ht="22.15" customHeight="1" x14ac:dyDescent="0.25">
      <c r="A83" s="37"/>
      <c r="B83" s="37"/>
      <c r="C83" s="37"/>
      <c r="D83" s="38"/>
      <c r="E83" s="38"/>
      <c r="F83" s="38"/>
      <c r="G83" s="38"/>
      <c r="H83" s="38"/>
      <c r="I83" s="38"/>
      <c r="J83" s="38"/>
      <c r="K83" s="38"/>
      <c r="L83" s="38"/>
      <c r="M83" s="39"/>
      <c r="N83" s="39"/>
      <c r="O83" s="39"/>
      <c r="P83" s="39"/>
      <c r="Q83" s="10"/>
    </row>
    <row r="84" spans="1:22" ht="17.45" customHeight="1" x14ac:dyDescent="0.25">
      <c r="A84" s="40"/>
      <c r="B84" s="40"/>
      <c r="C84" s="40"/>
      <c r="D84" s="41" t="s">
        <v>21</v>
      </c>
      <c r="E84" s="41"/>
      <c r="F84" s="41"/>
      <c r="G84" s="41"/>
      <c r="H84" s="41"/>
      <c r="I84" s="41"/>
      <c r="J84" s="41"/>
      <c r="K84" s="41"/>
      <c r="L84" s="41"/>
      <c r="M84" s="11"/>
    </row>
    <row r="85" spans="1:22" ht="22.15" customHeight="1" thickBot="1" x14ac:dyDescent="0.35">
      <c r="A85" s="42"/>
      <c r="B85" s="42"/>
      <c r="C85" s="1"/>
      <c r="D85" s="43" t="s">
        <v>91</v>
      </c>
      <c r="E85" s="43"/>
      <c r="F85" s="43"/>
      <c r="G85" s="43"/>
      <c r="H85" s="43"/>
      <c r="I85" s="43"/>
      <c r="J85" s="43"/>
      <c r="K85" s="43"/>
      <c r="L85" s="43"/>
      <c r="M85" s="2"/>
      <c r="N85" s="37"/>
      <c r="O85" s="37"/>
      <c r="P85" s="37"/>
    </row>
    <row r="86" spans="1:22" ht="15.6" customHeight="1" thickBot="1" x14ac:dyDescent="0.35">
      <c r="A86" s="71" t="s">
        <v>9</v>
      </c>
      <c r="B86" s="72"/>
      <c r="C86" s="73" t="str">
        <f>C46</f>
        <v>O541</v>
      </c>
      <c r="D86" s="73"/>
      <c r="E86" s="73"/>
      <c r="F86" s="74"/>
      <c r="G86" s="2"/>
      <c r="H86" s="75" t="s">
        <v>4</v>
      </c>
      <c r="I86" s="76"/>
      <c r="J86" s="76"/>
      <c r="K86" s="8" t="s">
        <v>7</v>
      </c>
      <c r="L86" s="77" t="str">
        <f>L46</f>
        <v>JP 523798</v>
      </c>
      <c r="M86" s="77"/>
      <c r="N86" s="77"/>
      <c r="O86" s="77"/>
      <c r="P86" s="78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52" t="s">
        <v>5</v>
      </c>
      <c r="I87" s="53"/>
      <c r="J87" s="53"/>
      <c r="K87" s="9" t="s">
        <v>7</v>
      </c>
      <c r="L87" s="79">
        <f ca="1">L47</f>
        <v>45689.589567129631</v>
      </c>
      <c r="M87" s="79"/>
      <c r="N87" s="79"/>
      <c r="O87" s="79"/>
      <c r="P87" s="80"/>
      <c r="R87" s="88"/>
      <c r="S87" s="88"/>
      <c r="T87" s="147"/>
      <c r="U87" s="26"/>
      <c r="V87" s="147"/>
    </row>
    <row r="88" spans="1:22" ht="18" customHeight="1" x14ac:dyDescent="0.3">
      <c r="A88" s="46" t="str">
        <f>A48</f>
        <v>Summit Alliance Port Limited (OCL).
Katghar, North Patenga, Chitagong.</v>
      </c>
      <c r="B88" s="47"/>
      <c r="C88" s="47"/>
      <c r="D88" s="47"/>
      <c r="E88" s="47"/>
      <c r="F88" s="48"/>
      <c r="G88" s="2"/>
      <c r="H88" s="52" t="s">
        <v>8</v>
      </c>
      <c r="I88" s="53"/>
      <c r="J88" s="53"/>
      <c r="K88" s="9" t="s">
        <v>7</v>
      </c>
      <c r="L88" s="54" t="str">
        <f>L48</f>
        <v>SEA</v>
      </c>
      <c r="M88" s="54"/>
      <c r="N88" s="54"/>
      <c r="O88" s="54"/>
      <c r="P88" s="55"/>
      <c r="R88" s="88"/>
      <c r="S88" s="88"/>
      <c r="T88" s="148"/>
      <c r="U88" s="26"/>
      <c r="V88" s="148"/>
    </row>
    <row r="89" spans="1:22" ht="17.45" customHeight="1" x14ac:dyDescent="0.3">
      <c r="A89" s="46"/>
      <c r="B89" s="47"/>
      <c r="C89" s="47"/>
      <c r="D89" s="47"/>
      <c r="E89" s="47"/>
      <c r="F89" s="48"/>
      <c r="G89" s="2"/>
      <c r="H89" s="56" t="s">
        <v>6</v>
      </c>
      <c r="I89" s="57"/>
      <c r="J89" s="57"/>
      <c r="K89" s="62" t="s">
        <v>7</v>
      </c>
      <c r="L89" s="65" t="str">
        <f>L49</f>
        <v>M/S. Kabir &amp; Co.
1104DT Road West Madarbari,
Chattogram, Bangladesh.</v>
      </c>
      <c r="M89" s="65"/>
      <c r="N89" s="65"/>
      <c r="O89" s="65"/>
      <c r="P89" s="66"/>
      <c r="R89" s="88"/>
      <c r="S89" s="88"/>
      <c r="T89" s="148"/>
      <c r="U89" s="26"/>
      <c r="V89" s="148"/>
    </row>
    <row r="90" spans="1:22" ht="18" thickBot="1" x14ac:dyDescent="0.35">
      <c r="A90" s="49"/>
      <c r="B90" s="50"/>
      <c r="C90" s="50"/>
      <c r="D90" s="50"/>
      <c r="E90" s="50"/>
      <c r="F90" s="51"/>
      <c r="G90" s="2"/>
      <c r="H90" s="58"/>
      <c r="I90" s="59"/>
      <c r="J90" s="59"/>
      <c r="K90" s="63"/>
      <c r="L90" s="67"/>
      <c r="M90" s="67"/>
      <c r="N90" s="67"/>
      <c r="O90" s="67"/>
      <c r="P90" s="68"/>
      <c r="R90" s="88"/>
      <c r="S90" s="88"/>
      <c r="T90" s="147"/>
      <c r="U90" s="26"/>
      <c r="V90" s="147"/>
    </row>
    <row r="91" spans="1:22" ht="18" customHeight="1" thickBot="1" x14ac:dyDescent="0.35">
      <c r="A91" s="42"/>
      <c r="B91" s="42"/>
      <c r="C91" s="1"/>
      <c r="D91" s="2"/>
      <c r="E91" s="2"/>
      <c r="F91" s="2"/>
      <c r="G91" s="2"/>
      <c r="H91" s="60"/>
      <c r="I91" s="61"/>
      <c r="J91" s="61"/>
      <c r="K91" s="64"/>
      <c r="L91" s="69"/>
      <c r="M91" s="69"/>
      <c r="N91" s="69"/>
      <c r="O91" s="69"/>
      <c r="P91" s="70"/>
      <c r="R91" s="88"/>
      <c r="S91" s="88"/>
      <c r="T91" s="147"/>
      <c r="U91" s="26"/>
      <c r="V91" s="148"/>
    </row>
    <row r="92" spans="1:22" ht="16.149999999999999" customHeight="1" x14ac:dyDescent="0.25">
      <c r="A92" s="103" t="s">
        <v>12</v>
      </c>
      <c r="B92" s="104"/>
      <c r="C92" s="105" t="s">
        <v>0</v>
      </c>
      <c r="D92" s="105"/>
      <c r="E92" s="105"/>
      <c r="F92" s="105"/>
      <c r="G92" s="105"/>
      <c r="H92" s="81" t="s">
        <v>1</v>
      </c>
      <c r="I92" s="82"/>
      <c r="J92" s="82"/>
      <c r="K92" s="82"/>
      <c r="L92" s="83"/>
      <c r="M92" s="84" t="s">
        <v>16</v>
      </c>
      <c r="N92" s="85"/>
      <c r="O92" s="86"/>
      <c r="P92" s="93" t="s">
        <v>3</v>
      </c>
      <c r="R92" s="88"/>
      <c r="S92" s="88"/>
      <c r="T92" s="147"/>
      <c r="U92" s="26"/>
      <c r="V92" s="148"/>
    </row>
    <row r="93" spans="1:22" ht="16.149999999999999" customHeight="1" x14ac:dyDescent="0.25">
      <c r="A93" s="3" t="s">
        <v>13</v>
      </c>
      <c r="B93" s="33">
        <f>B53</f>
        <v>1</v>
      </c>
      <c r="C93" s="96" t="str">
        <f>C53</f>
        <v>Delivery of Readymade Garments</v>
      </c>
      <c r="D93" s="96"/>
      <c r="E93" s="96"/>
      <c r="F93" s="96"/>
      <c r="G93" s="96"/>
      <c r="H93" s="97" t="s">
        <v>2</v>
      </c>
      <c r="I93" s="98"/>
      <c r="J93" s="99"/>
      <c r="K93" s="97" t="s">
        <v>15</v>
      </c>
      <c r="L93" s="99"/>
      <c r="M93" s="87"/>
      <c r="N93" s="88"/>
      <c r="O93" s="89"/>
      <c r="P93" s="94"/>
      <c r="R93" s="88"/>
      <c r="S93" s="88"/>
      <c r="T93" s="147"/>
      <c r="V93" s="147"/>
    </row>
    <row r="94" spans="1:22" ht="16.149999999999999" customHeight="1" thickBot="1" x14ac:dyDescent="0.3">
      <c r="A94" s="113" t="s">
        <v>11</v>
      </c>
      <c r="B94" s="114"/>
      <c r="C94" s="115" t="str">
        <f>C54</f>
        <v>H &amp; M</v>
      </c>
      <c r="D94" s="116"/>
      <c r="E94" s="117" t="s">
        <v>88</v>
      </c>
      <c r="F94" s="118"/>
      <c r="G94" s="114"/>
      <c r="H94" s="100"/>
      <c r="I94" s="101"/>
      <c r="J94" s="102"/>
      <c r="K94" s="100"/>
      <c r="L94" s="102"/>
      <c r="M94" s="90"/>
      <c r="N94" s="91"/>
      <c r="O94" s="92"/>
      <c r="P94" s="95"/>
      <c r="R94" s="88"/>
      <c r="S94" s="88"/>
      <c r="T94" s="147"/>
      <c r="V94" s="148"/>
    </row>
    <row r="95" spans="1:22" ht="25.15" customHeight="1" x14ac:dyDescent="0.25">
      <c r="A95" s="31">
        <f>A55</f>
        <v>0</v>
      </c>
      <c r="B95" s="119" t="str">
        <f>B55</f>
        <v>324414-5832</v>
      </c>
      <c r="C95" s="119"/>
      <c r="D95" s="119"/>
      <c r="E95" s="119"/>
      <c r="F95" s="119"/>
      <c r="G95" s="119"/>
      <c r="H95" s="120">
        <f>H55</f>
        <v>10</v>
      </c>
      <c r="I95" s="121"/>
      <c r="J95" s="122"/>
      <c r="K95" s="123">
        <f>K55</f>
        <v>382</v>
      </c>
      <c r="L95" s="124"/>
      <c r="M95" s="106" t="str">
        <f>M55</f>
        <v>OIW243,OIW404</v>
      </c>
      <c r="N95" s="107"/>
      <c r="O95" s="108"/>
      <c r="P95" s="34">
        <f>P55</f>
        <v>0</v>
      </c>
      <c r="R95" s="88"/>
      <c r="S95" s="88"/>
      <c r="T95" s="147"/>
      <c r="V95" s="148"/>
    </row>
    <row r="96" spans="1:22" ht="25.15" customHeight="1" x14ac:dyDescent="0.25">
      <c r="A96" s="32">
        <f>A56</f>
        <v>0</v>
      </c>
      <c r="B96" s="109" t="str">
        <f>B56</f>
        <v>988034-5828</v>
      </c>
      <c r="C96" s="109"/>
      <c r="D96" s="109"/>
      <c r="E96" s="109"/>
      <c r="F96" s="109"/>
      <c r="G96" s="109"/>
      <c r="H96" s="110">
        <f>H56</f>
        <v>4</v>
      </c>
      <c r="I96" s="110"/>
      <c r="J96" s="110"/>
      <c r="K96" s="111">
        <f>K56</f>
        <v>224</v>
      </c>
      <c r="L96" s="111"/>
      <c r="M96" s="112" t="str">
        <f>M56</f>
        <v>UY</v>
      </c>
      <c r="N96" s="112"/>
      <c r="O96" s="112"/>
      <c r="P96" s="35">
        <f>P56</f>
        <v>0</v>
      </c>
      <c r="R96" s="88"/>
      <c r="S96" s="88"/>
      <c r="T96" s="67"/>
      <c r="V96" s="147"/>
    </row>
    <row r="97" spans="1:22" ht="25.15" customHeight="1" x14ac:dyDescent="0.25">
      <c r="A97" s="32">
        <f t="shared" ref="A97:B112" si="6">A57</f>
        <v>0</v>
      </c>
      <c r="B97" s="109" t="str">
        <f t="shared" si="6"/>
        <v>318091-5828</v>
      </c>
      <c r="C97" s="109"/>
      <c r="D97" s="109"/>
      <c r="E97" s="109"/>
      <c r="F97" s="109"/>
      <c r="G97" s="109"/>
      <c r="H97" s="110">
        <f>H57</f>
        <v>18</v>
      </c>
      <c r="I97" s="110"/>
      <c r="J97" s="110"/>
      <c r="K97" s="111">
        <f>K57</f>
        <v>791</v>
      </c>
      <c r="L97" s="111"/>
      <c r="M97" s="112" t="str">
        <f t="shared" ref="M97:M114" si="7">M57</f>
        <v>CA</v>
      </c>
      <c r="N97" s="112"/>
      <c r="O97" s="112"/>
      <c r="P97" s="35">
        <f t="shared" ref="P97:P114" si="8">P57</f>
        <v>0</v>
      </c>
      <c r="R97" s="88"/>
      <c r="S97" s="88"/>
      <c r="T97" s="67"/>
      <c r="V97" s="148"/>
    </row>
    <row r="98" spans="1:22" ht="25.15" customHeight="1" x14ac:dyDescent="0.25">
      <c r="A98" s="32">
        <f t="shared" si="6"/>
        <v>0</v>
      </c>
      <c r="B98" s="109" t="str">
        <f t="shared" si="6"/>
        <v>321792-7272</v>
      </c>
      <c r="C98" s="109"/>
      <c r="D98" s="109"/>
      <c r="E98" s="109"/>
      <c r="F98" s="109"/>
      <c r="G98" s="109"/>
      <c r="H98" s="110">
        <f t="shared" ref="H98:H114" si="9">H58</f>
        <v>53</v>
      </c>
      <c r="I98" s="110"/>
      <c r="J98" s="110"/>
      <c r="K98" s="111">
        <f t="shared" ref="K98:K114" si="10">K58</f>
        <v>2850</v>
      </c>
      <c r="L98" s="111"/>
      <c r="M98" s="112" t="str">
        <f t="shared" si="7"/>
        <v>IN</v>
      </c>
      <c r="N98" s="112"/>
      <c r="O98" s="112"/>
      <c r="P98" s="35">
        <f t="shared" si="8"/>
        <v>0</v>
      </c>
      <c r="R98" s="88"/>
      <c r="S98" s="88"/>
      <c r="T98" s="67"/>
      <c r="V98" s="148"/>
    </row>
    <row r="99" spans="1:22" ht="25.15" customHeight="1" x14ac:dyDescent="0.25">
      <c r="A99" s="32">
        <f t="shared" si="6"/>
        <v>0</v>
      </c>
      <c r="B99" s="109" t="str">
        <f t="shared" si="6"/>
        <v>325380-5832</v>
      </c>
      <c r="C99" s="109"/>
      <c r="D99" s="109"/>
      <c r="E99" s="109"/>
      <c r="F99" s="109"/>
      <c r="G99" s="109"/>
      <c r="H99" s="110">
        <f t="shared" si="9"/>
        <v>20</v>
      </c>
      <c r="I99" s="110"/>
      <c r="J99" s="110"/>
      <c r="K99" s="111">
        <f t="shared" si="10"/>
        <v>1263</v>
      </c>
      <c r="L99" s="111"/>
      <c r="M99" s="112" t="str">
        <f t="shared" si="7"/>
        <v>OEW174</v>
      </c>
      <c r="N99" s="112"/>
      <c r="O99" s="112"/>
      <c r="P99" s="35">
        <f t="shared" si="8"/>
        <v>0</v>
      </c>
      <c r="R99" s="88"/>
      <c r="S99" s="88"/>
      <c r="T99" s="67"/>
      <c r="V99" s="147"/>
    </row>
    <row r="100" spans="1:22" ht="25.15" customHeight="1" x14ac:dyDescent="0.25">
      <c r="A100" s="32">
        <f t="shared" si="6"/>
        <v>0</v>
      </c>
      <c r="B100" s="109" t="str">
        <f t="shared" si="6"/>
        <v>987328-1643</v>
      </c>
      <c r="C100" s="109"/>
      <c r="D100" s="109"/>
      <c r="E100" s="109"/>
      <c r="F100" s="109"/>
      <c r="G100" s="109"/>
      <c r="H100" s="110">
        <f t="shared" si="9"/>
        <v>3</v>
      </c>
      <c r="I100" s="110"/>
      <c r="J100" s="110"/>
      <c r="K100" s="111">
        <f t="shared" si="10"/>
        <v>66</v>
      </c>
      <c r="L100" s="111"/>
      <c r="M100" s="112" t="str">
        <f t="shared" si="7"/>
        <v>UY</v>
      </c>
      <c r="N100" s="112"/>
      <c r="O100" s="112"/>
      <c r="P100" s="35">
        <f t="shared" si="8"/>
        <v>0</v>
      </c>
      <c r="R100" s="88"/>
      <c r="S100" s="88"/>
      <c r="T100" s="67"/>
      <c r="V100" s="148"/>
    </row>
    <row r="101" spans="1:22" ht="25.15" customHeight="1" x14ac:dyDescent="0.25">
      <c r="A101" s="32">
        <f t="shared" si="6"/>
        <v>0</v>
      </c>
      <c r="B101" s="109" t="str">
        <f t="shared" si="6"/>
        <v>307395-5832</v>
      </c>
      <c r="C101" s="109"/>
      <c r="D101" s="109"/>
      <c r="E101" s="109"/>
      <c r="F101" s="109"/>
      <c r="G101" s="109"/>
      <c r="H101" s="110">
        <f t="shared" si="9"/>
        <v>4</v>
      </c>
      <c r="I101" s="110"/>
      <c r="J101" s="110"/>
      <c r="K101" s="111">
        <f t="shared" si="10"/>
        <v>281</v>
      </c>
      <c r="L101" s="111"/>
      <c r="M101" s="112" t="str">
        <f t="shared" si="7"/>
        <v>CA</v>
      </c>
      <c r="N101" s="112"/>
      <c r="O101" s="112"/>
      <c r="P101" s="35">
        <f t="shared" si="8"/>
        <v>0</v>
      </c>
      <c r="R101" s="88"/>
      <c r="S101" s="88"/>
      <c r="T101" s="67"/>
      <c r="V101" s="148"/>
    </row>
    <row r="102" spans="1:22" ht="25.15" customHeight="1" x14ac:dyDescent="0.25">
      <c r="A102" s="32">
        <f t="shared" si="6"/>
        <v>0</v>
      </c>
      <c r="B102" s="109" t="str">
        <f t="shared" si="6"/>
        <v>982994-5832</v>
      </c>
      <c r="C102" s="109"/>
      <c r="D102" s="109"/>
      <c r="E102" s="109"/>
      <c r="F102" s="109"/>
      <c r="G102" s="109"/>
      <c r="H102" s="110">
        <f t="shared" si="9"/>
        <v>1</v>
      </c>
      <c r="I102" s="110"/>
      <c r="J102" s="110"/>
      <c r="K102" s="111">
        <f t="shared" si="10"/>
        <v>13</v>
      </c>
      <c r="L102" s="111"/>
      <c r="M102" s="112" t="str">
        <f t="shared" si="7"/>
        <v>ZA</v>
      </c>
      <c r="N102" s="112"/>
      <c r="O102" s="112"/>
      <c r="P102" s="35">
        <f t="shared" si="8"/>
        <v>0</v>
      </c>
      <c r="R102" s="88"/>
      <c r="S102" s="88"/>
      <c r="T102" s="67"/>
    </row>
    <row r="103" spans="1:22" ht="25.15" customHeight="1" x14ac:dyDescent="0.25">
      <c r="A103" s="32">
        <f t="shared" si="6"/>
        <v>0</v>
      </c>
      <c r="B103" s="109" t="str">
        <f t="shared" si="6"/>
        <v>309266-5828</v>
      </c>
      <c r="C103" s="109"/>
      <c r="D103" s="109"/>
      <c r="E103" s="109"/>
      <c r="F103" s="109"/>
      <c r="G103" s="109"/>
      <c r="H103" s="110">
        <f t="shared" si="9"/>
        <v>8</v>
      </c>
      <c r="I103" s="110"/>
      <c r="J103" s="110"/>
      <c r="K103" s="111">
        <f t="shared" si="10"/>
        <v>372</v>
      </c>
      <c r="L103" s="111"/>
      <c r="M103" s="112" t="str">
        <f t="shared" si="7"/>
        <v>CA</v>
      </c>
      <c r="N103" s="112"/>
      <c r="O103" s="112"/>
      <c r="P103" s="35">
        <f t="shared" si="8"/>
        <v>0</v>
      </c>
      <c r="R103" s="88"/>
      <c r="S103" s="88"/>
      <c r="T103" s="67"/>
    </row>
    <row r="104" spans="1:22" ht="25.15" customHeight="1" x14ac:dyDescent="0.25">
      <c r="A104" s="32">
        <f t="shared" si="6"/>
        <v>0</v>
      </c>
      <c r="B104" s="109" t="str">
        <f t="shared" si="6"/>
        <v>994036-1643</v>
      </c>
      <c r="C104" s="109"/>
      <c r="D104" s="109"/>
      <c r="E104" s="109"/>
      <c r="F104" s="109"/>
      <c r="G104" s="109"/>
      <c r="H104" s="110">
        <f t="shared" si="9"/>
        <v>1</v>
      </c>
      <c r="I104" s="110"/>
      <c r="J104" s="110"/>
      <c r="K104" s="111">
        <f t="shared" si="10"/>
        <v>155</v>
      </c>
      <c r="L104" s="111"/>
      <c r="M104" s="112" t="str">
        <f t="shared" si="7"/>
        <v>UY</v>
      </c>
      <c r="N104" s="112"/>
      <c r="O104" s="112"/>
      <c r="P104" s="35">
        <f t="shared" si="8"/>
        <v>0</v>
      </c>
      <c r="R104" s="88"/>
      <c r="S104" s="88"/>
      <c r="T104" s="67"/>
    </row>
    <row r="105" spans="1:22" ht="25.15" customHeight="1" x14ac:dyDescent="0.25">
      <c r="A105" s="32">
        <f t="shared" si="6"/>
        <v>0</v>
      </c>
      <c r="B105" s="109" t="str">
        <f t="shared" si="6"/>
        <v>992979-3932</v>
      </c>
      <c r="C105" s="109"/>
      <c r="D105" s="109"/>
      <c r="E105" s="109"/>
      <c r="F105" s="109"/>
      <c r="G105" s="109"/>
      <c r="H105" s="110">
        <f t="shared" si="9"/>
        <v>17</v>
      </c>
      <c r="I105" s="110"/>
      <c r="J105" s="110"/>
      <c r="K105" s="111">
        <f t="shared" si="10"/>
        <v>387</v>
      </c>
      <c r="L105" s="111"/>
      <c r="M105" s="112" t="str">
        <f t="shared" si="7"/>
        <v>UY</v>
      </c>
      <c r="N105" s="112"/>
      <c r="O105" s="112"/>
      <c r="P105" s="35">
        <f t="shared" si="8"/>
        <v>0</v>
      </c>
      <c r="R105" s="88"/>
      <c r="S105" s="88"/>
      <c r="T105" s="67"/>
    </row>
    <row r="106" spans="1:22" ht="25.15" customHeight="1" x14ac:dyDescent="0.25">
      <c r="A106" s="32">
        <f t="shared" si="6"/>
        <v>0</v>
      </c>
      <c r="B106" s="109" t="str">
        <f t="shared" si="6"/>
        <v>324417-5832</v>
      </c>
      <c r="C106" s="109"/>
      <c r="D106" s="109"/>
      <c r="E106" s="109"/>
      <c r="F106" s="109"/>
      <c r="G106" s="109"/>
      <c r="H106" s="110">
        <f t="shared" si="9"/>
        <v>10</v>
      </c>
      <c r="I106" s="110"/>
      <c r="J106" s="110"/>
      <c r="K106" s="111">
        <f t="shared" si="10"/>
        <v>526</v>
      </c>
      <c r="L106" s="111"/>
      <c r="M106" s="112" t="str">
        <f t="shared" si="7"/>
        <v>IN</v>
      </c>
      <c r="N106" s="112"/>
      <c r="O106" s="112"/>
      <c r="P106" s="35">
        <f t="shared" si="8"/>
        <v>0</v>
      </c>
      <c r="R106" s="88"/>
      <c r="S106" s="88"/>
      <c r="T106" s="67"/>
    </row>
    <row r="107" spans="1:22" ht="25.15" customHeight="1" x14ac:dyDescent="0.25">
      <c r="A107" s="32">
        <f t="shared" si="6"/>
        <v>0</v>
      </c>
      <c r="B107" s="109" t="str">
        <f t="shared" si="6"/>
        <v>324416-5832</v>
      </c>
      <c r="C107" s="109"/>
      <c r="D107" s="109"/>
      <c r="E107" s="109"/>
      <c r="F107" s="109"/>
      <c r="G107" s="109"/>
      <c r="H107" s="110">
        <f t="shared" si="9"/>
        <v>8</v>
      </c>
      <c r="I107" s="110"/>
      <c r="J107" s="110"/>
      <c r="K107" s="111">
        <f t="shared" si="10"/>
        <v>384</v>
      </c>
      <c r="L107" s="111"/>
      <c r="M107" s="112" t="str">
        <f t="shared" si="7"/>
        <v>IN</v>
      </c>
      <c r="N107" s="112"/>
      <c r="O107" s="112"/>
      <c r="P107" s="35">
        <f t="shared" si="8"/>
        <v>0</v>
      </c>
      <c r="R107" s="88"/>
      <c r="S107" s="88"/>
      <c r="T107" s="67"/>
    </row>
    <row r="108" spans="1:22" ht="25.15" customHeight="1" x14ac:dyDescent="0.25">
      <c r="A108" s="32">
        <f t="shared" si="6"/>
        <v>0</v>
      </c>
      <c r="B108" s="109" t="str">
        <f t="shared" si="6"/>
        <v>986373-1643</v>
      </c>
      <c r="C108" s="109"/>
      <c r="D108" s="109"/>
      <c r="E108" s="109"/>
      <c r="F108" s="109"/>
      <c r="G108" s="109"/>
      <c r="H108" s="110">
        <f t="shared" si="9"/>
        <v>7</v>
      </c>
      <c r="I108" s="110"/>
      <c r="J108" s="110"/>
      <c r="K108" s="111">
        <f t="shared" si="10"/>
        <v>150</v>
      </c>
      <c r="L108" s="111"/>
      <c r="M108" s="112" t="str">
        <f t="shared" si="7"/>
        <v>UY</v>
      </c>
      <c r="N108" s="112"/>
      <c r="O108" s="112"/>
      <c r="P108" s="35">
        <f t="shared" si="8"/>
        <v>0</v>
      </c>
      <c r="R108" s="88"/>
      <c r="S108" s="88"/>
      <c r="T108" s="67"/>
    </row>
    <row r="109" spans="1:22" ht="25.15" customHeight="1" x14ac:dyDescent="0.25">
      <c r="A109" s="32">
        <f t="shared" si="6"/>
        <v>0</v>
      </c>
      <c r="B109" s="109" t="str">
        <f t="shared" si="6"/>
        <v>983065-5832</v>
      </c>
      <c r="C109" s="109"/>
      <c r="D109" s="109"/>
      <c r="E109" s="109"/>
      <c r="F109" s="109"/>
      <c r="G109" s="109"/>
      <c r="H109" s="110">
        <f t="shared" si="9"/>
        <v>1</v>
      </c>
      <c r="I109" s="110"/>
      <c r="J109" s="110"/>
      <c r="K109" s="111">
        <f t="shared" si="10"/>
        <v>70</v>
      </c>
      <c r="L109" s="111"/>
      <c r="M109" s="112" t="str">
        <f t="shared" si="7"/>
        <v>UY</v>
      </c>
      <c r="N109" s="112"/>
      <c r="O109" s="112"/>
      <c r="P109" s="35">
        <f t="shared" si="8"/>
        <v>0</v>
      </c>
      <c r="R109" s="88"/>
      <c r="S109" s="88"/>
      <c r="T109" s="67"/>
    </row>
    <row r="110" spans="1:22" ht="25.15" customHeight="1" x14ac:dyDescent="0.25">
      <c r="A110" s="32">
        <f t="shared" si="6"/>
        <v>0</v>
      </c>
      <c r="B110" s="109" t="str">
        <f t="shared" si="6"/>
        <v>983063-5832</v>
      </c>
      <c r="C110" s="109"/>
      <c r="D110" s="109"/>
      <c r="E110" s="109"/>
      <c r="F110" s="109"/>
      <c r="G110" s="109"/>
      <c r="H110" s="110">
        <f t="shared" si="9"/>
        <v>2</v>
      </c>
      <c r="I110" s="110"/>
      <c r="J110" s="110"/>
      <c r="K110" s="111">
        <f t="shared" si="10"/>
        <v>93</v>
      </c>
      <c r="L110" s="111"/>
      <c r="M110" s="112" t="str">
        <f t="shared" si="7"/>
        <v>UY</v>
      </c>
      <c r="N110" s="112"/>
      <c r="O110" s="112"/>
      <c r="P110" s="35">
        <f t="shared" si="8"/>
        <v>0</v>
      </c>
      <c r="R110" s="88"/>
      <c r="S110" s="88"/>
      <c r="T110" s="67"/>
    </row>
    <row r="111" spans="1:22" ht="25.15" customHeight="1" x14ac:dyDescent="0.25">
      <c r="A111" s="32">
        <f t="shared" si="6"/>
        <v>0</v>
      </c>
      <c r="B111" s="109" t="str">
        <f t="shared" si="6"/>
        <v>297320-5828</v>
      </c>
      <c r="C111" s="109"/>
      <c r="D111" s="109"/>
      <c r="E111" s="109"/>
      <c r="F111" s="109"/>
      <c r="G111" s="109"/>
      <c r="H111" s="110">
        <f t="shared" si="9"/>
        <v>42</v>
      </c>
      <c r="I111" s="110"/>
      <c r="J111" s="110"/>
      <c r="K111" s="111">
        <f t="shared" si="10"/>
        <v>2160</v>
      </c>
      <c r="L111" s="111"/>
      <c r="M111" s="112" t="str">
        <f t="shared" si="7"/>
        <v>CA</v>
      </c>
      <c r="N111" s="112"/>
      <c r="O111" s="112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09" t="str">
        <f t="shared" si="6"/>
        <v>973838-5833</v>
      </c>
      <c r="C112" s="109"/>
      <c r="D112" s="109"/>
      <c r="E112" s="109"/>
      <c r="F112" s="109"/>
      <c r="G112" s="109"/>
      <c r="H112" s="110">
        <f t="shared" si="9"/>
        <v>9</v>
      </c>
      <c r="I112" s="110"/>
      <c r="J112" s="110"/>
      <c r="K112" s="111">
        <f t="shared" si="10"/>
        <v>213</v>
      </c>
      <c r="L112" s="111"/>
      <c r="M112" s="112" t="str">
        <f t="shared" si="7"/>
        <v>ZA</v>
      </c>
      <c r="N112" s="112"/>
      <c r="O112" s="112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09" t="str">
        <f t="shared" si="11"/>
        <v>309649-5832</v>
      </c>
      <c r="C113" s="109"/>
      <c r="D113" s="109"/>
      <c r="E113" s="109"/>
      <c r="F113" s="109"/>
      <c r="G113" s="109"/>
      <c r="H113" s="110">
        <f t="shared" si="9"/>
        <v>15</v>
      </c>
      <c r="I113" s="110"/>
      <c r="J113" s="110"/>
      <c r="K113" s="111">
        <f t="shared" si="10"/>
        <v>736</v>
      </c>
      <c r="L113" s="111"/>
      <c r="M113" s="112" t="str">
        <f t="shared" si="7"/>
        <v>DR</v>
      </c>
      <c r="N113" s="112"/>
      <c r="O113" s="112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09" t="str">
        <f t="shared" si="11"/>
        <v>325717-5832</v>
      </c>
      <c r="C114" s="109"/>
      <c r="D114" s="109"/>
      <c r="E114" s="109"/>
      <c r="F114" s="109"/>
      <c r="G114" s="109"/>
      <c r="H114" s="110">
        <f t="shared" si="9"/>
        <v>26</v>
      </c>
      <c r="I114" s="110"/>
      <c r="J114" s="110"/>
      <c r="K114" s="111">
        <f t="shared" si="10"/>
        <v>2974</v>
      </c>
      <c r="L114" s="111"/>
      <c r="M114" s="112" t="str">
        <f t="shared" si="7"/>
        <v>IN</v>
      </c>
      <c r="N114" s="112"/>
      <c r="O114" s="112"/>
      <c r="P114" s="35">
        <f t="shared" si="8"/>
        <v>0</v>
      </c>
    </row>
    <row r="115" spans="1:22" ht="21.95" customHeight="1" thickBot="1" x14ac:dyDescent="0.3">
      <c r="A115" s="126" t="s">
        <v>17</v>
      </c>
      <c r="B115" s="127"/>
      <c r="C115" s="127"/>
      <c r="D115" s="127"/>
      <c r="E115" s="127"/>
      <c r="F115" s="127"/>
      <c r="G115" s="116"/>
      <c r="H115" s="128">
        <f>SUM(H95:J114)</f>
        <v>259</v>
      </c>
      <c r="I115" s="129"/>
      <c r="J115" s="130"/>
      <c r="K115" s="131">
        <f>SUM(K95:L114)</f>
        <v>14090</v>
      </c>
      <c r="L115" s="132"/>
      <c r="M115" s="133"/>
      <c r="N115" s="134"/>
      <c r="O115" s="135"/>
      <c r="P115" s="19"/>
    </row>
    <row r="117" spans="1:22" ht="31.9" customHeight="1" x14ac:dyDescent="0.25">
      <c r="A117" s="137" t="s">
        <v>22</v>
      </c>
      <c r="B117" s="138"/>
      <c r="C117" s="138"/>
      <c r="D117" s="139" t="str">
        <f>D77</f>
        <v>MD.JAMSHED</v>
      </c>
      <c r="E117" s="139"/>
      <c r="F117" s="139"/>
      <c r="G117" s="138" t="s">
        <v>23</v>
      </c>
      <c r="H117" s="138"/>
      <c r="I117" s="138"/>
      <c r="J117" s="138"/>
      <c r="K117" s="138"/>
      <c r="L117" s="138"/>
      <c r="M117" s="140" t="str">
        <f>M77</f>
        <v>01831-013822</v>
      </c>
      <c r="N117" s="140"/>
      <c r="O117" s="140"/>
      <c r="P117" s="141"/>
    </row>
    <row r="118" spans="1:22" ht="31.9" customHeight="1" x14ac:dyDescent="0.25">
      <c r="A118" s="142" t="s">
        <v>24</v>
      </c>
      <c r="B118" s="143"/>
      <c r="C118" s="143"/>
      <c r="D118" s="144" t="str">
        <f>D78</f>
        <v>LT0001</v>
      </c>
      <c r="E118" s="144"/>
      <c r="F118" s="144"/>
      <c r="G118" s="143" t="s">
        <v>25</v>
      </c>
      <c r="H118" s="143"/>
      <c r="I118" s="143"/>
      <c r="J118" s="143"/>
      <c r="K118" s="143"/>
      <c r="L118" s="143"/>
      <c r="M118" s="145" t="str">
        <f>M78</f>
        <v>D.M.TA 13-5578</v>
      </c>
      <c r="N118" s="145"/>
      <c r="O118" s="145"/>
      <c r="P118" s="146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36" t="s">
        <v>18</v>
      </c>
      <c r="B120" s="136"/>
      <c r="C120" s="136"/>
      <c r="D120" s="4"/>
      <c r="E120" s="4"/>
      <c r="F120" s="136" t="s">
        <v>19</v>
      </c>
      <c r="G120" s="136"/>
      <c r="H120" s="36"/>
      <c r="I120" s="36"/>
      <c r="J120" s="36"/>
      <c r="K120" s="4"/>
      <c r="L120" s="136" t="s">
        <v>20</v>
      </c>
      <c r="M120" s="136"/>
      <c r="N120" s="136"/>
      <c r="O120" s="136"/>
      <c r="P120" s="136"/>
    </row>
    <row r="121" spans="1:22" ht="8.25" customHeight="1" x14ac:dyDescent="0.25"/>
    <row r="122" spans="1:22" ht="36.75" customHeight="1" x14ac:dyDescent="0.25">
      <c r="A122" s="37"/>
      <c r="B122" s="37"/>
      <c r="C122" s="37"/>
      <c r="D122" s="38" t="s">
        <v>27</v>
      </c>
      <c r="E122" s="38"/>
      <c r="F122" s="38"/>
      <c r="G122" s="38"/>
      <c r="H122" s="38"/>
      <c r="I122" s="38"/>
      <c r="J122" s="38"/>
      <c r="K122" s="38"/>
      <c r="L122" s="38"/>
      <c r="M122" s="39" t="str">
        <f>M82</f>
        <v>FORM STR 03
REVISION NO 01</v>
      </c>
      <c r="N122" s="39"/>
      <c r="O122" s="39"/>
      <c r="P122" s="39"/>
      <c r="Q122" s="10"/>
    </row>
    <row r="123" spans="1:22" ht="22.15" customHeight="1" x14ac:dyDescent="0.25">
      <c r="A123" s="37"/>
      <c r="B123" s="37"/>
      <c r="C123" s="37"/>
      <c r="D123" s="38"/>
      <c r="E123" s="38"/>
      <c r="F123" s="38"/>
      <c r="G123" s="38"/>
      <c r="H123" s="38"/>
      <c r="I123" s="38"/>
      <c r="J123" s="38"/>
      <c r="K123" s="38"/>
      <c r="L123" s="38"/>
      <c r="M123" s="39"/>
      <c r="N123" s="39"/>
      <c r="O123" s="39"/>
      <c r="P123" s="39"/>
      <c r="Q123" s="10"/>
    </row>
    <row r="124" spans="1:22" ht="17.45" customHeight="1" x14ac:dyDescent="0.25">
      <c r="A124" s="40"/>
      <c r="B124" s="40"/>
      <c r="C124" s="40"/>
      <c r="D124" s="41" t="s">
        <v>21</v>
      </c>
      <c r="E124" s="41"/>
      <c r="F124" s="41"/>
      <c r="G124" s="41"/>
      <c r="H124" s="41"/>
      <c r="I124" s="41"/>
      <c r="J124" s="41"/>
      <c r="K124" s="41"/>
      <c r="L124" s="41"/>
      <c r="M124" s="11"/>
    </row>
    <row r="125" spans="1:22" ht="22.15" customHeight="1" thickBot="1" x14ac:dyDescent="0.35">
      <c r="A125" s="42"/>
      <c r="B125" s="42"/>
      <c r="C125" s="1"/>
      <c r="D125" s="43" t="s">
        <v>92</v>
      </c>
      <c r="E125" s="43"/>
      <c r="F125" s="43"/>
      <c r="G125" s="43"/>
      <c r="H125" s="43"/>
      <c r="I125" s="43"/>
      <c r="J125" s="43"/>
      <c r="K125" s="43"/>
      <c r="L125" s="43"/>
      <c r="M125" s="2"/>
      <c r="N125" s="37"/>
      <c r="O125" s="37"/>
      <c r="P125" s="37"/>
    </row>
    <row r="126" spans="1:22" ht="15.6" customHeight="1" thickBot="1" x14ac:dyDescent="0.35">
      <c r="A126" s="71" t="s">
        <v>9</v>
      </c>
      <c r="B126" s="72"/>
      <c r="C126" s="73" t="str">
        <f>C86</f>
        <v>O541</v>
      </c>
      <c r="D126" s="73"/>
      <c r="E126" s="73"/>
      <c r="F126" s="74"/>
      <c r="G126" s="2"/>
      <c r="H126" s="75" t="s">
        <v>4</v>
      </c>
      <c r="I126" s="76"/>
      <c r="J126" s="76"/>
      <c r="K126" s="8" t="s">
        <v>7</v>
      </c>
      <c r="L126" s="77" t="str">
        <f>L86</f>
        <v>JP 523798</v>
      </c>
      <c r="M126" s="77"/>
      <c r="N126" s="77"/>
      <c r="O126" s="77"/>
      <c r="P126" s="78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52" t="s">
        <v>5</v>
      </c>
      <c r="I127" s="53"/>
      <c r="J127" s="53"/>
      <c r="K127" s="9" t="s">
        <v>7</v>
      </c>
      <c r="L127" s="79">
        <f ca="1">L87</f>
        <v>45689.589567129631</v>
      </c>
      <c r="M127" s="79"/>
      <c r="N127" s="79"/>
      <c r="O127" s="79"/>
      <c r="P127" s="80"/>
      <c r="R127" s="88"/>
      <c r="S127" s="88"/>
      <c r="T127" s="147"/>
      <c r="U127" s="26"/>
      <c r="V127" s="147"/>
    </row>
    <row r="128" spans="1:22" ht="18" customHeight="1" x14ac:dyDescent="0.3">
      <c r="A128" s="46" t="str">
        <f>A88</f>
        <v>Summit Alliance Port Limited (OCL).
Katghar, North Patenga, Chitagong.</v>
      </c>
      <c r="B128" s="47"/>
      <c r="C128" s="47"/>
      <c r="D128" s="47"/>
      <c r="E128" s="47"/>
      <c r="F128" s="48"/>
      <c r="G128" s="2"/>
      <c r="H128" s="52" t="s">
        <v>8</v>
      </c>
      <c r="I128" s="53"/>
      <c r="J128" s="53"/>
      <c r="K128" s="9" t="s">
        <v>7</v>
      </c>
      <c r="L128" s="54" t="str">
        <f>L88</f>
        <v>SEA</v>
      </c>
      <c r="M128" s="54"/>
      <c r="N128" s="54"/>
      <c r="O128" s="54"/>
      <c r="P128" s="55"/>
      <c r="R128" s="88"/>
      <c r="S128" s="88"/>
      <c r="T128" s="148"/>
      <c r="U128" s="26"/>
      <c r="V128" s="148"/>
    </row>
    <row r="129" spans="1:22" ht="17.25" x14ac:dyDescent="0.3">
      <c r="A129" s="46"/>
      <c r="B129" s="47"/>
      <c r="C129" s="47"/>
      <c r="D129" s="47"/>
      <c r="E129" s="47"/>
      <c r="F129" s="48"/>
      <c r="G129" s="2"/>
      <c r="H129" s="56" t="s">
        <v>6</v>
      </c>
      <c r="I129" s="57"/>
      <c r="J129" s="57"/>
      <c r="K129" s="62" t="s">
        <v>7</v>
      </c>
      <c r="L129" s="65" t="str">
        <f>L89</f>
        <v>M/S. Kabir &amp; Co.
1104DT Road West Madarbari,
Chattogram, Bangladesh.</v>
      </c>
      <c r="M129" s="65"/>
      <c r="N129" s="65"/>
      <c r="O129" s="65"/>
      <c r="P129" s="66"/>
      <c r="R129" s="88"/>
      <c r="S129" s="88"/>
      <c r="T129" s="148"/>
      <c r="U129" s="26"/>
      <c r="V129" s="148"/>
    </row>
    <row r="130" spans="1:22" ht="18" thickBot="1" x14ac:dyDescent="0.35">
      <c r="A130" s="49"/>
      <c r="B130" s="50"/>
      <c r="C130" s="50"/>
      <c r="D130" s="50"/>
      <c r="E130" s="50"/>
      <c r="F130" s="51"/>
      <c r="G130" s="2"/>
      <c r="H130" s="58"/>
      <c r="I130" s="59"/>
      <c r="J130" s="59"/>
      <c r="K130" s="63"/>
      <c r="L130" s="67"/>
      <c r="M130" s="67"/>
      <c r="N130" s="67"/>
      <c r="O130" s="67"/>
      <c r="P130" s="68"/>
      <c r="R130" s="88"/>
      <c r="S130" s="88"/>
      <c r="T130" s="147"/>
      <c r="U130" s="26"/>
      <c r="V130" s="147"/>
    </row>
    <row r="131" spans="1:22" ht="18" customHeight="1" thickBot="1" x14ac:dyDescent="0.35">
      <c r="A131" s="42"/>
      <c r="B131" s="42"/>
      <c r="C131" s="1"/>
      <c r="D131" s="2"/>
      <c r="E131" s="2"/>
      <c r="F131" s="2"/>
      <c r="G131" s="2"/>
      <c r="H131" s="60"/>
      <c r="I131" s="61"/>
      <c r="J131" s="61"/>
      <c r="K131" s="64"/>
      <c r="L131" s="69"/>
      <c r="M131" s="69"/>
      <c r="N131" s="69"/>
      <c r="O131" s="69"/>
      <c r="P131" s="70"/>
      <c r="R131" s="88"/>
      <c r="S131" s="88"/>
      <c r="T131" s="147"/>
      <c r="U131" s="26"/>
      <c r="V131" s="148"/>
    </row>
    <row r="132" spans="1:22" ht="16.149999999999999" customHeight="1" x14ac:dyDescent="0.25">
      <c r="A132" s="103" t="s">
        <v>12</v>
      </c>
      <c r="B132" s="104"/>
      <c r="C132" s="105" t="s">
        <v>0</v>
      </c>
      <c r="D132" s="105"/>
      <c r="E132" s="105"/>
      <c r="F132" s="105"/>
      <c r="G132" s="105"/>
      <c r="H132" s="81" t="s">
        <v>1</v>
      </c>
      <c r="I132" s="82"/>
      <c r="J132" s="82"/>
      <c r="K132" s="82"/>
      <c r="L132" s="83"/>
      <c r="M132" s="84" t="s">
        <v>16</v>
      </c>
      <c r="N132" s="85"/>
      <c r="O132" s="86"/>
      <c r="P132" s="149" t="s">
        <v>3</v>
      </c>
      <c r="R132" s="88"/>
      <c r="S132" s="88"/>
      <c r="T132" s="147"/>
      <c r="U132" s="26"/>
      <c r="V132" s="148"/>
    </row>
    <row r="133" spans="1:22" ht="16.149999999999999" customHeight="1" x14ac:dyDescent="0.25">
      <c r="A133" s="3" t="s">
        <v>13</v>
      </c>
      <c r="B133" s="33">
        <f>B93</f>
        <v>1</v>
      </c>
      <c r="C133" s="96" t="str">
        <f>C93</f>
        <v>Delivery of Readymade Garments</v>
      </c>
      <c r="D133" s="96"/>
      <c r="E133" s="96"/>
      <c r="F133" s="96"/>
      <c r="G133" s="96"/>
      <c r="H133" s="165" t="s">
        <v>2</v>
      </c>
      <c r="I133" s="166"/>
      <c r="J133" s="167"/>
      <c r="K133" s="165" t="s">
        <v>15</v>
      </c>
      <c r="L133" s="167"/>
      <c r="M133" s="87"/>
      <c r="N133" s="88"/>
      <c r="O133" s="89"/>
      <c r="P133" s="150"/>
      <c r="R133" s="88"/>
      <c r="S133" s="88"/>
      <c r="T133" s="147"/>
      <c r="V133" s="147"/>
    </row>
    <row r="134" spans="1:22" ht="16.149999999999999" customHeight="1" thickBot="1" x14ac:dyDescent="0.3">
      <c r="A134" s="113" t="s">
        <v>11</v>
      </c>
      <c r="B134" s="114"/>
      <c r="C134" s="115" t="str">
        <f>C94</f>
        <v>H &amp; M</v>
      </c>
      <c r="D134" s="116"/>
      <c r="E134" s="117" t="s">
        <v>88</v>
      </c>
      <c r="F134" s="118"/>
      <c r="G134" s="114"/>
      <c r="H134" s="100"/>
      <c r="I134" s="101"/>
      <c r="J134" s="102"/>
      <c r="K134" s="100"/>
      <c r="L134" s="102"/>
      <c r="M134" s="90"/>
      <c r="N134" s="91"/>
      <c r="O134" s="92"/>
      <c r="P134" s="151"/>
      <c r="R134" s="88"/>
      <c r="S134" s="88"/>
      <c r="T134" s="147"/>
      <c r="V134" s="148"/>
    </row>
    <row r="135" spans="1:22" ht="25.15" customHeight="1" x14ac:dyDescent="0.25">
      <c r="A135" s="31">
        <f>A95</f>
        <v>0</v>
      </c>
      <c r="B135" s="119" t="str">
        <f>B95</f>
        <v>324414-5832</v>
      </c>
      <c r="C135" s="119"/>
      <c r="D135" s="119"/>
      <c r="E135" s="119"/>
      <c r="F135" s="119"/>
      <c r="G135" s="119"/>
      <c r="H135" s="160">
        <f>H95</f>
        <v>10</v>
      </c>
      <c r="I135" s="161"/>
      <c r="J135" s="162"/>
      <c r="K135" s="163">
        <f>K95</f>
        <v>382</v>
      </c>
      <c r="L135" s="164"/>
      <c r="M135" s="106" t="str">
        <f>M95</f>
        <v>OIW243,OIW404</v>
      </c>
      <c r="N135" s="107"/>
      <c r="O135" s="108"/>
      <c r="P135" s="34">
        <f>P95</f>
        <v>0</v>
      </c>
      <c r="R135" s="88"/>
      <c r="S135" s="88"/>
      <c r="T135" s="147"/>
      <c r="V135" s="148"/>
    </row>
    <row r="136" spans="1:22" ht="25.15" customHeight="1" x14ac:dyDescent="0.25">
      <c r="A136" s="32">
        <f>A96</f>
        <v>0</v>
      </c>
      <c r="B136" s="109" t="str">
        <f>B96</f>
        <v>988034-5828</v>
      </c>
      <c r="C136" s="109"/>
      <c r="D136" s="109"/>
      <c r="E136" s="109"/>
      <c r="F136" s="109"/>
      <c r="G136" s="109"/>
      <c r="H136" s="152">
        <f>H96</f>
        <v>4</v>
      </c>
      <c r="I136" s="153"/>
      <c r="J136" s="154"/>
      <c r="K136" s="155">
        <f>K96</f>
        <v>224</v>
      </c>
      <c r="L136" s="156"/>
      <c r="M136" s="157" t="str">
        <f>M96</f>
        <v>UY</v>
      </c>
      <c r="N136" s="158"/>
      <c r="O136" s="159"/>
      <c r="P136" s="35">
        <f>P96</f>
        <v>0</v>
      </c>
      <c r="R136" s="88"/>
      <c r="S136" s="88"/>
      <c r="T136" s="67"/>
      <c r="V136" s="147"/>
    </row>
    <row r="137" spans="1:22" ht="25.15" customHeight="1" x14ac:dyDescent="0.25">
      <c r="A137" s="32">
        <f t="shared" ref="A137:B152" si="12">A97</f>
        <v>0</v>
      </c>
      <c r="B137" s="109" t="str">
        <f t="shared" si="12"/>
        <v>318091-5828</v>
      </c>
      <c r="C137" s="109"/>
      <c r="D137" s="109"/>
      <c r="E137" s="109"/>
      <c r="F137" s="109"/>
      <c r="G137" s="109"/>
      <c r="H137" s="152">
        <f>H97</f>
        <v>18</v>
      </c>
      <c r="I137" s="153"/>
      <c r="J137" s="154"/>
      <c r="K137" s="155">
        <f>K97</f>
        <v>791</v>
      </c>
      <c r="L137" s="156"/>
      <c r="M137" s="157" t="str">
        <f t="shared" ref="M137:M154" si="13">M97</f>
        <v>CA</v>
      </c>
      <c r="N137" s="158"/>
      <c r="O137" s="159"/>
      <c r="P137" s="35">
        <f t="shared" ref="P137:P154" si="14">P97</f>
        <v>0</v>
      </c>
      <c r="R137" s="88"/>
      <c r="S137" s="88"/>
      <c r="T137" s="67"/>
      <c r="V137" s="148"/>
    </row>
    <row r="138" spans="1:22" ht="25.15" customHeight="1" x14ac:dyDescent="0.25">
      <c r="A138" s="32">
        <f t="shared" si="12"/>
        <v>0</v>
      </c>
      <c r="B138" s="109" t="str">
        <f t="shared" si="12"/>
        <v>321792-7272</v>
      </c>
      <c r="C138" s="109"/>
      <c r="D138" s="109"/>
      <c r="E138" s="109"/>
      <c r="F138" s="109"/>
      <c r="G138" s="109"/>
      <c r="H138" s="152">
        <f t="shared" ref="H138:H154" si="15">H98</f>
        <v>53</v>
      </c>
      <c r="I138" s="153"/>
      <c r="J138" s="154"/>
      <c r="K138" s="155">
        <f t="shared" ref="K138:K154" si="16">K98</f>
        <v>2850</v>
      </c>
      <c r="L138" s="156"/>
      <c r="M138" s="157" t="str">
        <f t="shared" si="13"/>
        <v>IN</v>
      </c>
      <c r="N138" s="158"/>
      <c r="O138" s="159"/>
      <c r="P138" s="35">
        <f t="shared" si="14"/>
        <v>0</v>
      </c>
      <c r="R138" s="88"/>
      <c r="S138" s="88"/>
      <c r="T138" s="67"/>
      <c r="V138" s="148"/>
    </row>
    <row r="139" spans="1:22" ht="25.15" customHeight="1" x14ac:dyDescent="0.25">
      <c r="A139" s="32">
        <f t="shared" si="12"/>
        <v>0</v>
      </c>
      <c r="B139" s="109" t="str">
        <f t="shared" si="12"/>
        <v>325380-5832</v>
      </c>
      <c r="C139" s="109"/>
      <c r="D139" s="109"/>
      <c r="E139" s="109"/>
      <c r="F139" s="109"/>
      <c r="G139" s="109"/>
      <c r="H139" s="152">
        <f t="shared" si="15"/>
        <v>20</v>
      </c>
      <c r="I139" s="153"/>
      <c r="J139" s="154"/>
      <c r="K139" s="155">
        <f t="shared" si="16"/>
        <v>1263</v>
      </c>
      <c r="L139" s="156"/>
      <c r="M139" s="157" t="str">
        <f t="shared" si="13"/>
        <v>OEW174</v>
      </c>
      <c r="N139" s="158"/>
      <c r="O139" s="159"/>
      <c r="P139" s="35">
        <f t="shared" si="14"/>
        <v>0</v>
      </c>
      <c r="R139" s="88"/>
      <c r="S139" s="88"/>
      <c r="T139" s="67"/>
      <c r="V139" s="147"/>
    </row>
    <row r="140" spans="1:22" ht="25.15" customHeight="1" x14ac:dyDescent="0.25">
      <c r="A140" s="32">
        <f t="shared" si="12"/>
        <v>0</v>
      </c>
      <c r="B140" s="109" t="str">
        <f t="shared" si="12"/>
        <v>987328-1643</v>
      </c>
      <c r="C140" s="109"/>
      <c r="D140" s="109"/>
      <c r="E140" s="109"/>
      <c r="F140" s="109"/>
      <c r="G140" s="109"/>
      <c r="H140" s="152">
        <f t="shared" si="15"/>
        <v>3</v>
      </c>
      <c r="I140" s="153"/>
      <c r="J140" s="154"/>
      <c r="K140" s="155">
        <f t="shared" si="16"/>
        <v>66</v>
      </c>
      <c r="L140" s="156"/>
      <c r="M140" s="157" t="str">
        <f t="shared" si="13"/>
        <v>UY</v>
      </c>
      <c r="N140" s="158"/>
      <c r="O140" s="159"/>
      <c r="P140" s="35">
        <f t="shared" si="14"/>
        <v>0</v>
      </c>
      <c r="R140" s="88"/>
      <c r="S140" s="88"/>
      <c r="T140" s="67"/>
      <c r="V140" s="148"/>
    </row>
    <row r="141" spans="1:22" ht="25.15" customHeight="1" x14ac:dyDescent="0.25">
      <c r="A141" s="32">
        <f t="shared" si="12"/>
        <v>0</v>
      </c>
      <c r="B141" s="109" t="str">
        <f t="shared" si="12"/>
        <v>307395-5832</v>
      </c>
      <c r="C141" s="109"/>
      <c r="D141" s="109"/>
      <c r="E141" s="109"/>
      <c r="F141" s="109"/>
      <c r="G141" s="109"/>
      <c r="H141" s="152">
        <f t="shared" si="15"/>
        <v>4</v>
      </c>
      <c r="I141" s="153"/>
      <c r="J141" s="154"/>
      <c r="K141" s="155">
        <f t="shared" si="16"/>
        <v>281</v>
      </c>
      <c r="L141" s="156"/>
      <c r="M141" s="157" t="str">
        <f t="shared" si="13"/>
        <v>CA</v>
      </c>
      <c r="N141" s="158"/>
      <c r="O141" s="159"/>
      <c r="P141" s="35">
        <f t="shared" si="14"/>
        <v>0</v>
      </c>
      <c r="R141" s="88"/>
      <c r="S141" s="88"/>
      <c r="T141" s="67"/>
      <c r="V141" s="148"/>
    </row>
    <row r="142" spans="1:22" ht="25.15" customHeight="1" x14ac:dyDescent="0.25">
      <c r="A142" s="32">
        <f t="shared" si="12"/>
        <v>0</v>
      </c>
      <c r="B142" s="109" t="str">
        <f t="shared" si="12"/>
        <v>982994-5832</v>
      </c>
      <c r="C142" s="109"/>
      <c r="D142" s="109"/>
      <c r="E142" s="109"/>
      <c r="F142" s="109"/>
      <c r="G142" s="109"/>
      <c r="H142" s="152">
        <f t="shared" si="15"/>
        <v>1</v>
      </c>
      <c r="I142" s="153"/>
      <c r="J142" s="154"/>
      <c r="K142" s="155">
        <f t="shared" si="16"/>
        <v>13</v>
      </c>
      <c r="L142" s="156"/>
      <c r="M142" s="157" t="str">
        <f t="shared" si="13"/>
        <v>ZA</v>
      </c>
      <c r="N142" s="158"/>
      <c r="O142" s="159"/>
      <c r="P142" s="35">
        <f t="shared" si="14"/>
        <v>0</v>
      </c>
      <c r="R142" s="88"/>
      <c r="S142" s="88"/>
      <c r="T142" s="67"/>
    </row>
    <row r="143" spans="1:22" ht="25.15" customHeight="1" x14ac:dyDescent="0.25">
      <c r="A143" s="32">
        <f t="shared" si="12"/>
        <v>0</v>
      </c>
      <c r="B143" s="109" t="str">
        <f t="shared" si="12"/>
        <v>309266-5828</v>
      </c>
      <c r="C143" s="109"/>
      <c r="D143" s="109"/>
      <c r="E143" s="109"/>
      <c r="F143" s="109"/>
      <c r="G143" s="109"/>
      <c r="H143" s="152">
        <f t="shared" si="15"/>
        <v>8</v>
      </c>
      <c r="I143" s="153"/>
      <c r="J143" s="154"/>
      <c r="K143" s="155">
        <f t="shared" si="16"/>
        <v>372</v>
      </c>
      <c r="L143" s="156"/>
      <c r="M143" s="157" t="str">
        <f t="shared" si="13"/>
        <v>CA</v>
      </c>
      <c r="N143" s="158"/>
      <c r="O143" s="159"/>
      <c r="P143" s="35">
        <f t="shared" si="14"/>
        <v>0</v>
      </c>
      <c r="R143" s="88"/>
      <c r="S143" s="88"/>
      <c r="T143" s="67"/>
    </row>
    <row r="144" spans="1:22" ht="25.15" customHeight="1" x14ac:dyDescent="0.25">
      <c r="A144" s="32">
        <f t="shared" si="12"/>
        <v>0</v>
      </c>
      <c r="B144" s="109" t="str">
        <f t="shared" si="12"/>
        <v>994036-1643</v>
      </c>
      <c r="C144" s="109"/>
      <c r="D144" s="109"/>
      <c r="E144" s="109"/>
      <c r="F144" s="109"/>
      <c r="G144" s="109"/>
      <c r="H144" s="152">
        <f t="shared" si="15"/>
        <v>1</v>
      </c>
      <c r="I144" s="153"/>
      <c r="J144" s="154"/>
      <c r="K144" s="155">
        <f t="shared" si="16"/>
        <v>155</v>
      </c>
      <c r="L144" s="156"/>
      <c r="M144" s="157" t="str">
        <f t="shared" si="13"/>
        <v>UY</v>
      </c>
      <c r="N144" s="158"/>
      <c r="O144" s="159"/>
      <c r="P144" s="35">
        <f t="shared" si="14"/>
        <v>0</v>
      </c>
      <c r="R144" s="88"/>
      <c r="S144" s="88"/>
      <c r="T144" s="67"/>
    </row>
    <row r="145" spans="1:20" ht="25.15" customHeight="1" x14ac:dyDescent="0.25">
      <c r="A145" s="32">
        <f t="shared" si="12"/>
        <v>0</v>
      </c>
      <c r="B145" s="109" t="str">
        <f t="shared" si="12"/>
        <v>992979-3932</v>
      </c>
      <c r="C145" s="109"/>
      <c r="D145" s="109"/>
      <c r="E145" s="109"/>
      <c r="F145" s="109"/>
      <c r="G145" s="109"/>
      <c r="H145" s="152">
        <f t="shared" si="15"/>
        <v>17</v>
      </c>
      <c r="I145" s="153"/>
      <c r="J145" s="154"/>
      <c r="K145" s="155">
        <f t="shared" si="16"/>
        <v>387</v>
      </c>
      <c r="L145" s="156"/>
      <c r="M145" s="157" t="str">
        <f t="shared" si="13"/>
        <v>UY</v>
      </c>
      <c r="N145" s="158"/>
      <c r="O145" s="159"/>
      <c r="P145" s="35">
        <f t="shared" si="14"/>
        <v>0</v>
      </c>
      <c r="R145" s="88"/>
      <c r="S145" s="88"/>
      <c r="T145" s="67"/>
    </row>
    <row r="146" spans="1:20" ht="25.15" customHeight="1" x14ac:dyDescent="0.25">
      <c r="A146" s="32">
        <f t="shared" si="12"/>
        <v>0</v>
      </c>
      <c r="B146" s="109" t="str">
        <f t="shared" si="12"/>
        <v>324417-5832</v>
      </c>
      <c r="C146" s="109"/>
      <c r="D146" s="109"/>
      <c r="E146" s="109"/>
      <c r="F146" s="109"/>
      <c r="G146" s="109"/>
      <c r="H146" s="152">
        <f t="shared" si="15"/>
        <v>10</v>
      </c>
      <c r="I146" s="153"/>
      <c r="J146" s="154"/>
      <c r="K146" s="155">
        <f t="shared" si="16"/>
        <v>526</v>
      </c>
      <c r="L146" s="156"/>
      <c r="M146" s="157" t="str">
        <f t="shared" si="13"/>
        <v>IN</v>
      </c>
      <c r="N146" s="158"/>
      <c r="O146" s="159"/>
      <c r="P146" s="35">
        <f t="shared" si="14"/>
        <v>0</v>
      </c>
      <c r="R146" s="88"/>
      <c r="S146" s="88"/>
      <c r="T146" s="67"/>
    </row>
    <row r="147" spans="1:20" ht="25.15" customHeight="1" x14ac:dyDescent="0.25">
      <c r="A147" s="32">
        <f t="shared" si="12"/>
        <v>0</v>
      </c>
      <c r="B147" s="109" t="str">
        <f t="shared" si="12"/>
        <v>324416-5832</v>
      </c>
      <c r="C147" s="109"/>
      <c r="D147" s="109"/>
      <c r="E147" s="109"/>
      <c r="F147" s="109"/>
      <c r="G147" s="109"/>
      <c r="H147" s="152">
        <f t="shared" si="15"/>
        <v>8</v>
      </c>
      <c r="I147" s="153"/>
      <c r="J147" s="154"/>
      <c r="K147" s="155">
        <f t="shared" si="16"/>
        <v>384</v>
      </c>
      <c r="L147" s="156"/>
      <c r="M147" s="157" t="str">
        <f t="shared" si="13"/>
        <v>IN</v>
      </c>
      <c r="N147" s="158"/>
      <c r="O147" s="159"/>
      <c r="P147" s="35">
        <f t="shared" si="14"/>
        <v>0</v>
      </c>
      <c r="R147" s="88"/>
      <c r="S147" s="88"/>
      <c r="T147" s="67"/>
    </row>
    <row r="148" spans="1:20" ht="25.15" customHeight="1" x14ac:dyDescent="0.25">
      <c r="A148" s="32">
        <f t="shared" si="12"/>
        <v>0</v>
      </c>
      <c r="B148" s="109" t="str">
        <f t="shared" si="12"/>
        <v>986373-1643</v>
      </c>
      <c r="C148" s="109"/>
      <c r="D148" s="109"/>
      <c r="E148" s="109"/>
      <c r="F148" s="109"/>
      <c r="G148" s="109"/>
      <c r="H148" s="152">
        <f t="shared" si="15"/>
        <v>7</v>
      </c>
      <c r="I148" s="153"/>
      <c r="J148" s="154"/>
      <c r="K148" s="155">
        <f t="shared" si="16"/>
        <v>150</v>
      </c>
      <c r="L148" s="156"/>
      <c r="M148" s="157" t="str">
        <f t="shared" si="13"/>
        <v>UY</v>
      </c>
      <c r="N148" s="158"/>
      <c r="O148" s="159"/>
      <c r="P148" s="35">
        <f t="shared" si="14"/>
        <v>0</v>
      </c>
      <c r="R148" s="88"/>
      <c r="S148" s="88"/>
      <c r="T148" s="67"/>
    </row>
    <row r="149" spans="1:20" ht="25.15" customHeight="1" x14ac:dyDescent="0.25">
      <c r="A149" s="32">
        <f t="shared" si="12"/>
        <v>0</v>
      </c>
      <c r="B149" s="109" t="str">
        <f t="shared" si="12"/>
        <v>983065-5832</v>
      </c>
      <c r="C149" s="109"/>
      <c r="D149" s="109"/>
      <c r="E149" s="109"/>
      <c r="F149" s="109"/>
      <c r="G149" s="109"/>
      <c r="H149" s="152">
        <f t="shared" si="15"/>
        <v>1</v>
      </c>
      <c r="I149" s="153"/>
      <c r="J149" s="154"/>
      <c r="K149" s="155">
        <f t="shared" si="16"/>
        <v>70</v>
      </c>
      <c r="L149" s="156"/>
      <c r="M149" s="157" t="str">
        <f t="shared" si="13"/>
        <v>UY</v>
      </c>
      <c r="N149" s="158"/>
      <c r="O149" s="159"/>
      <c r="P149" s="35">
        <f t="shared" si="14"/>
        <v>0</v>
      </c>
      <c r="R149" s="88"/>
      <c r="S149" s="88"/>
      <c r="T149" s="67"/>
    </row>
    <row r="150" spans="1:20" ht="25.15" customHeight="1" x14ac:dyDescent="0.25">
      <c r="A150" s="32">
        <f t="shared" si="12"/>
        <v>0</v>
      </c>
      <c r="B150" s="109" t="str">
        <f t="shared" si="12"/>
        <v>983063-5832</v>
      </c>
      <c r="C150" s="109"/>
      <c r="D150" s="109"/>
      <c r="E150" s="109"/>
      <c r="F150" s="109"/>
      <c r="G150" s="109"/>
      <c r="H150" s="152">
        <f t="shared" si="15"/>
        <v>2</v>
      </c>
      <c r="I150" s="153"/>
      <c r="J150" s="154"/>
      <c r="K150" s="155">
        <f t="shared" si="16"/>
        <v>93</v>
      </c>
      <c r="L150" s="156"/>
      <c r="M150" s="157" t="str">
        <f t="shared" si="13"/>
        <v>UY</v>
      </c>
      <c r="N150" s="158"/>
      <c r="O150" s="159"/>
      <c r="P150" s="35">
        <f t="shared" si="14"/>
        <v>0</v>
      </c>
      <c r="R150" s="88"/>
      <c r="S150" s="88"/>
      <c r="T150" s="67"/>
    </row>
    <row r="151" spans="1:20" ht="25.15" customHeight="1" x14ac:dyDescent="0.25">
      <c r="A151" s="32">
        <f t="shared" si="12"/>
        <v>0</v>
      </c>
      <c r="B151" s="109" t="str">
        <f t="shared" si="12"/>
        <v>297320-5828</v>
      </c>
      <c r="C151" s="109"/>
      <c r="D151" s="109"/>
      <c r="E151" s="109"/>
      <c r="F151" s="109"/>
      <c r="G151" s="109"/>
      <c r="H151" s="152">
        <f t="shared" si="15"/>
        <v>42</v>
      </c>
      <c r="I151" s="153"/>
      <c r="J151" s="154"/>
      <c r="K151" s="155">
        <f t="shared" si="16"/>
        <v>2160</v>
      </c>
      <c r="L151" s="156"/>
      <c r="M151" s="157" t="str">
        <f t="shared" si="13"/>
        <v>CA</v>
      </c>
      <c r="N151" s="158"/>
      <c r="O151" s="159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09" t="str">
        <f t="shared" si="12"/>
        <v>973838-5833</v>
      </c>
      <c r="C152" s="109"/>
      <c r="D152" s="109"/>
      <c r="E152" s="109"/>
      <c r="F152" s="109"/>
      <c r="G152" s="109"/>
      <c r="H152" s="152">
        <f t="shared" si="15"/>
        <v>9</v>
      </c>
      <c r="I152" s="153"/>
      <c r="J152" s="154"/>
      <c r="K152" s="155">
        <f t="shared" si="16"/>
        <v>213</v>
      </c>
      <c r="L152" s="156"/>
      <c r="M152" s="157" t="str">
        <f t="shared" si="13"/>
        <v>ZA</v>
      </c>
      <c r="N152" s="158"/>
      <c r="O152" s="159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09" t="str">
        <f t="shared" si="17"/>
        <v>309649-5832</v>
      </c>
      <c r="C153" s="109"/>
      <c r="D153" s="109"/>
      <c r="E153" s="109"/>
      <c r="F153" s="109"/>
      <c r="G153" s="109"/>
      <c r="H153" s="152">
        <f t="shared" si="15"/>
        <v>15</v>
      </c>
      <c r="I153" s="153"/>
      <c r="J153" s="154"/>
      <c r="K153" s="155">
        <f t="shared" si="16"/>
        <v>736</v>
      </c>
      <c r="L153" s="156"/>
      <c r="M153" s="157" t="str">
        <f t="shared" si="13"/>
        <v>DR</v>
      </c>
      <c r="N153" s="158"/>
      <c r="O153" s="159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09" t="str">
        <f t="shared" si="17"/>
        <v>325717-5832</v>
      </c>
      <c r="C154" s="109"/>
      <c r="D154" s="109"/>
      <c r="E154" s="109"/>
      <c r="F154" s="109"/>
      <c r="G154" s="109"/>
      <c r="H154" s="152">
        <f t="shared" si="15"/>
        <v>26</v>
      </c>
      <c r="I154" s="153"/>
      <c r="J154" s="154"/>
      <c r="K154" s="155">
        <f t="shared" si="16"/>
        <v>2974</v>
      </c>
      <c r="L154" s="156"/>
      <c r="M154" s="157" t="str">
        <f t="shared" si="13"/>
        <v>IN</v>
      </c>
      <c r="N154" s="158"/>
      <c r="O154" s="159"/>
      <c r="P154" s="35">
        <f t="shared" si="14"/>
        <v>0</v>
      </c>
    </row>
    <row r="155" spans="1:20" ht="21.95" customHeight="1" thickBot="1" x14ac:dyDescent="0.3">
      <c r="A155" s="126" t="s">
        <v>17</v>
      </c>
      <c r="B155" s="127"/>
      <c r="C155" s="127"/>
      <c r="D155" s="127"/>
      <c r="E155" s="127"/>
      <c r="F155" s="127"/>
      <c r="G155" s="116"/>
      <c r="H155" s="128">
        <f>SUM(H135:J154)</f>
        <v>259</v>
      </c>
      <c r="I155" s="168"/>
      <c r="J155" s="169"/>
      <c r="K155" s="131">
        <f>SUM(K135:L154)</f>
        <v>14090</v>
      </c>
      <c r="L155" s="132"/>
      <c r="M155" s="133"/>
      <c r="N155" s="134"/>
      <c r="O155" s="135"/>
      <c r="P155" s="19"/>
    </row>
    <row r="157" spans="1:20" ht="31.9" customHeight="1" x14ac:dyDescent="0.25">
      <c r="A157" s="137" t="s">
        <v>22</v>
      </c>
      <c r="B157" s="138"/>
      <c r="C157" s="138"/>
      <c r="D157" s="139" t="str">
        <f>D117</f>
        <v>MD.JAMSHED</v>
      </c>
      <c r="E157" s="139"/>
      <c r="F157" s="139"/>
      <c r="G157" s="138" t="s">
        <v>23</v>
      </c>
      <c r="H157" s="138"/>
      <c r="I157" s="138"/>
      <c r="J157" s="138"/>
      <c r="K157" s="138"/>
      <c r="L157" s="138"/>
      <c r="M157" s="140" t="str">
        <f>M117</f>
        <v>01831-013822</v>
      </c>
      <c r="N157" s="140"/>
      <c r="O157" s="140"/>
      <c r="P157" s="141"/>
    </row>
    <row r="158" spans="1:20" ht="31.9" customHeight="1" x14ac:dyDescent="0.25">
      <c r="A158" s="142" t="s">
        <v>24</v>
      </c>
      <c r="B158" s="143"/>
      <c r="C158" s="143"/>
      <c r="D158" s="144" t="str">
        <f>D118</f>
        <v>LT0001</v>
      </c>
      <c r="E158" s="144"/>
      <c r="F158" s="144"/>
      <c r="G158" s="143" t="s">
        <v>25</v>
      </c>
      <c r="H158" s="143"/>
      <c r="I158" s="143"/>
      <c r="J158" s="143"/>
      <c r="K158" s="143"/>
      <c r="L158" s="143"/>
      <c r="M158" s="145" t="str">
        <f>M118</f>
        <v>D.M.TA 13-5578</v>
      </c>
      <c r="N158" s="145"/>
      <c r="O158" s="145"/>
      <c r="P158" s="146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36" t="s">
        <v>18</v>
      </c>
      <c r="B160" s="136"/>
      <c r="C160" s="136"/>
      <c r="D160" s="4"/>
      <c r="E160" s="4"/>
      <c r="F160" s="136" t="s">
        <v>19</v>
      </c>
      <c r="G160" s="136"/>
      <c r="H160" s="36"/>
      <c r="I160" s="36"/>
      <c r="J160" s="36"/>
      <c r="K160" s="4"/>
      <c r="L160" s="136" t="s">
        <v>20</v>
      </c>
      <c r="M160" s="136"/>
      <c r="N160" s="136"/>
      <c r="O160" s="136"/>
      <c r="P160" s="136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26:G26"/>
    <mergeCell ref="H26:J26"/>
    <mergeCell ref="K26:L26"/>
    <mergeCell ref="M26:O26"/>
    <mergeCell ref="B27:G27"/>
    <mergeCell ref="H27:J27"/>
    <mergeCell ref="K27:L27"/>
    <mergeCell ref="M27:O27"/>
    <mergeCell ref="B24:G24"/>
    <mergeCell ref="H24:J24"/>
    <mergeCell ref="K24:L24"/>
    <mergeCell ref="M24:O24"/>
    <mergeCell ref="B25:G25"/>
    <mergeCell ref="H25:J25"/>
    <mergeCell ref="K25:L25"/>
    <mergeCell ref="M25:O25"/>
    <mergeCell ref="V16:V18"/>
    <mergeCell ref="B17:G17"/>
    <mergeCell ref="H17:J17"/>
    <mergeCell ref="K17:L17"/>
    <mergeCell ref="M17:O17"/>
    <mergeCell ref="B18:G18"/>
    <mergeCell ref="B23:G23"/>
    <mergeCell ref="H23:J23"/>
    <mergeCell ref="K23:L23"/>
    <mergeCell ref="M23:O23"/>
    <mergeCell ref="V19:V21"/>
    <mergeCell ref="B20:G20"/>
    <mergeCell ref="H20:J20"/>
    <mergeCell ref="K20:L20"/>
    <mergeCell ref="M20:O20"/>
    <mergeCell ref="B21:G21"/>
    <mergeCell ref="H21:J21"/>
    <mergeCell ref="K21:L21"/>
    <mergeCell ref="M21:O21"/>
    <mergeCell ref="B19:G19"/>
    <mergeCell ref="H19:J19"/>
    <mergeCell ref="K19:L19"/>
    <mergeCell ref="M19:O19"/>
    <mergeCell ref="M15:O15"/>
    <mergeCell ref="H18:J18"/>
    <mergeCell ref="K18:L18"/>
    <mergeCell ref="M18:O18"/>
    <mergeCell ref="B16:G16"/>
    <mergeCell ref="H16:J16"/>
    <mergeCell ref="K16:L16"/>
    <mergeCell ref="M16:O16"/>
    <mergeCell ref="B22:G22"/>
    <mergeCell ref="H22:J22"/>
    <mergeCell ref="K22:L22"/>
    <mergeCell ref="M22:O22"/>
    <mergeCell ref="C12:G12"/>
    <mergeCell ref="H12:L12"/>
    <mergeCell ref="M12:O14"/>
    <mergeCell ref="P12:P14"/>
    <mergeCell ref="C13:G13"/>
    <mergeCell ref="H13:J14"/>
    <mergeCell ref="K13:L14"/>
    <mergeCell ref="V7:V9"/>
    <mergeCell ref="A8:F10"/>
    <mergeCell ref="H8:J8"/>
    <mergeCell ref="L8:P8"/>
    <mergeCell ref="H9:J11"/>
    <mergeCell ref="K9:K11"/>
    <mergeCell ref="L9:P11"/>
    <mergeCell ref="V10:V12"/>
    <mergeCell ref="A11:B11"/>
    <mergeCell ref="A12:B12"/>
    <mergeCell ref="V13:V15"/>
    <mergeCell ref="A14:B14"/>
    <mergeCell ref="C14:D14"/>
    <mergeCell ref="E14:G14"/>
    <mergeCell ref="B15:G15"/>
    <mergeCell ref="H15:J15"/>
    <mergeCell ref="K15:L15"/>
    <mergeCell ref="A6:B6"/>
    <mergeCell ref="C6:F6"/>
    <mergeCell ref="H6:J6"/>
    <mergeCell ref="L6:P6"/>
    <mergeCell ref="H7:J7"/>
    <mergeCell ref="L7:P7"/>
    <mergeCell ref="A2:C3"/>
    <mergeCell ref="D2:L3"/>
    <mergeCell ref="M2:P3"/>
    <mergeCell ref="A4:C4"/>
    <mergeCell ref="D4:L4"/>
    <mergeCell ref="A5:B5"/>
    <mergeCell ref="D5:L5"/>
    <mergeCell ref="N5:P5"/>
  </mergeCells>
  <dataValidations count="4">
    <dataValidation type="list" allowBlank="1" showInputMessage="1" showErrorMessage="1" sqref="C14:D14 C94:D94 C54:D54 C134:D134" xr:uid="{D6658493-632D-475B-AE7A-DFE62900436F}">
      <formula1>$W$7:$W$161</formula1>
    </dataValidation>
    <dataValidation type="list" allowBlank="1" showInputMessage="1" showErrorMessage="1" sqref="L9:P11 L49:P51 L89:P91 L129:P131" xr:uid="{B21F2CEA-A376-4ECC-8902-C13A20003664}">
      <formula1>Carrier</formula1>
    </dataValidation>
    <dataValidation type="list" allowBlank="1" showInputMessage="1" showErrorMessage="1" sqref="A8 A48 A88 A128" xr:uid="{99FD668C-8188-4915-804A-3F5A2FDD5800}">
      <formula1>$T$7:$T$35</formula1>
    </dataValidation>
    <dataValidation type="list" allowBlank="1" showInputMessage="1" showErrorMessage="1" sqref="L8:P8 L48:P48 L88:P88 L128:P128" xr:uid="{A50EE2A6-C166-419E-A48B-A9DA571AF8F9}">
      <formula1>Mode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383DD-40EA-494B-87D3-2B2B0787022E}">
  <sheetPr>
    <tabColor rgb="FF00B050"/>
  </sheetPr>
  <dimension ref="A1:Y168"/>
  <sheetViews>
    <sheetView view="pageBreakPreview" topLeftCell="A4" zoomScaleNormal="100" zoomScaleSheetLayoutView="100" workbookViewId="0">
      <selection activeCell="M38" sqref="M38:P38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37"/>
      <c r="B2" s="37"/>
      <c r="C2" s="37"/>
      <c r="D2" s="38" t="s">
        <v>27</v>
      </c>
      <c r="E2" s="38"/>
      <c r="F2" s="38"/>
      <c r="G2" s="38"/>
      <c r="H2" s="38"/>
      <c r="I2" s="38"/>
      <c r="J2" s="38"/>
      <c r="K2" s="38"/>
      <c r="L2" s="38"/>
      <c r="M2" s="39" t="s">
        <v>26</v>
      </c>
      <c r="N2" s="39"/>
      <c r="O2" s="39"/>
      <c r="P2" s="39"/>
      <c r="Q2" s="10"/>
    </row>
    <row r="3" spans="1:25" ht="22.15" customHeight="1" x14ac:dyDescent="0.25">
      <c r="A3" s="37"/>
      <c r="B3" s="37"/>
      <c r="C3" s="37"/>
      <c r="D3" s="38"/>
      <c r="E3" s="38"/>
      <c r="F3" s="38"/>
      <c r="G3" s="38"/>
      <c r="H3" s="38"/>
      <c r="I3" s="38"/>
      <c r="J3" s="38"/>
      <c r="K3" s="38"/>
      <c r="L3" s="38"/>
      <c r="M3" s="39"/>
      <c r="N3" s="39"/>
      <c r="O3" s="39"/>
      <c r="P3" s="39"/>
      <c r="Q3" s="10"/>
    </row>
    <row r="4" spans="1:25" ht="17.45" customHeight="1" x14ac:dyDescent="0.25">
      <c r="A4" s="40"/>
      <c r="B4" s="40"/>
      <c r="C4" s="40"/>
      <c r="D4" s="41" t="s">
        <v>21</v>
      </c>
      <c r="E4" s="41"/>
      <c r="F4" s="41"/>
      <c r="G4" s="41"/>
      <c r="H4" s="41"/>
      <c r="I4" s="41"/>
      <c r="J4" s="41"/>
      <c r="K4" s="41"/>
      <c r="L4" s="41"/>
      <c r="M4" s="11"/>
    </row>
    <row r="5" spans="1:25" ht="22.15" customHeight="1" thickBot="1" x14ac:dyDescent="0.35">
      <c r="A5" s="42"/>
      <c r="B5" s="42"/>
      <c r="C5" s="1"/>
      <c r="D5" s="43" t="s">
        <v>89</v>
      </c>
      <c r="E5" s="43"/>
      <c r="F5" s="43"/>
      <c r="G5" s="43"/>
      <c r="H5" s="43"/>
      <c r="I5" s="43"/>
      <c r="J5" s="43"/>
      <c r="K5" s="43"/>
      <c r="L5" s="43"/>
      <c r="M5" s="2"/>
      <c r="N5" s="37"/>
      <c r="O5" s="37"/>
      <c r="P5" s="37"/>
    </row>
    <row r="6" spans="1:25" ht="15.6" customHeight="1" thickBot="1" x14ac:dyDescent="0.35">
      <c r="A6" s="71" t="s">
        <v>9</v>
      </c>
      <c r="B6" s="72"/>
      <c r="C6" s="73" t="s">
        <v>117</v>
      </c>
      <c r="D6" s="73"/>
      <c r="E6" s="73"/>
      <c r="F6" s="74"/>
      <c r="G6" s="2"/>
      <c r="H6" s="75" t="s">
        <v>4</v>
      </c>
      <c r="I6" s="76"/>
      <c r="J6" s="76"/>
      <c r="K6" s="8" t="s">
        <v>7</v>
      </c>
      <c r="L6" s="77" t="s">
        <v>193</v>
      </c>
      <c r="M6" s="77"/>
      <c r="N6" s="77"/>
      <c r="O6" s="77"/>
      <c r="P6" s="78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52" t="s">
        <v>5</v>
      </c>
      <c r="I7" s="53"/>
      <c r="J7" s="53"/>
      <c r="K7" s="9" t="s">
        <v>7</v>
      </c>
      <c r="L7" s="79">
        <f ca="1">NOW()</f>
        <v>45689.589567129631</v>
      </c>
      <c r="M7" s="79"/>
      <c r="N7" s="79"/>
      <c r="O7" s="79"/>
      <c r="P7" s="80"/>
      <c r="R7" s="28">
        <v>1</v>
      </c>
      <c r="S7" s="28" t="s">
        <v>39</v>
      </c>
      <c r="T7" s="29" t="s">
        <v>33</v>
      </c>
      <c r="U7" s="17" t="s">
        <v>29</v>
      </c>
      <c r="V7" s="44" t="s">
        <v>47</v>
      </c>
      <c r="W7" t="s">
        <v>54</v>
      </c>
    </row>
    <row r="8" spans="1:25" ht="18" customHeight="1" x14ac:dyDescent="0.3">
      <c r="A8" s="46" t="s">
        <v>192</v>
      </c>
      <c r="B8" s="47"/>
      <c r="C8" s="47"/>
      <c r="D8" s="47"/>
      <c r="E8" s="47"/>
      <c r="F8" s="48"/>
      <c r="G8" s="2"/>
      <c r="H8" s="52" t="s">
        <v>8</v>
      </c>
      <c r="I8" s="53"/>
      <c r="J8" s="53"/>
      <c r="K8" s="9" t="s">
        <v>7</v>
      </c>
      <c r="L8" s="54" t="s">
        <v>29</v>
      </c>
      <c r="M8" s="54"/>
      <c r="N8" s="54"/>
      <c r="O8" s="54"/>
      <c r="P8" s="55"/>
      <c r="R8" s="28">
        <v>2</v>
      </c>
      <c r="S8" s="28" t="s">
        <v>40</v>
      </c>
      <c r="T8" s="29" t="s">
        <v>99</v>
      </c>
      <c r="U8" s="17" t="s">
        <v>30</v>
      </c>
      <c r="V8" s="45"/>
      <c r="W8" t="s">
        <v>55</v>
      </c>
    </row>
    <row r="9" spans="1:25" ht="17.45" customHeight="1" x14ac:dyDescent="0.3">
      <c r="A9" s="46"/>
      <c r="B9" s="47"/>
      <c r="C9" s="47"/>
      <c r="D9" s="47"/>
      <c r="E9" s="47"/>
      <c r="F9" s="48"/>
      <c r="G9" s="2"/>
      <c r="H9" s="56" t="s">
        <v>6</v>
      </c>
      <c r="I9" s="57"/>
      <c r="J9" s="57"/>
      <c r="K9" s="62" t="s">
        <v>7</v>
      </c>
      <c r="L9" s="65" t="s">
        <v>52</v>
      </c>
      <c r="M9" s="65"/>
      <c r="N9" s="65"/>
      <c r="O9" s="65"/>
      <c r="P9" s="66"/>
      <c r="R9" s="28">
        <v>3</v>
      </c>
      <c r="S9" s="28" t="s">
        <v>41</v>
      </c>
      <c r="T9" s="29" t="s">
        <v>100</v>
      </c>
      <c r="U9" s="17" t="s">
        <v>31</v>
      </c>
      <c r="V9" s="45"/>
      <c r="W9" t="s">
        <v>56</v>
      </c>
    </row>
    <row r="10" spans="1:25" ht="18" customHeight="1" thickBot="1" x14ac:dyDescent="0.35">
      <c r="A10" s="49"/>
      <c r="B10" s="50"/>
      <c r="C10" s="50"/>
      <c r="D10" s="50"/>
      <c r="E10" s="50"/>
      <c r="F10" s="51"/>
      <c r="G10" s="2"/>
      <c r="H10" s="58"/>
      <c r="I10" s="59"/>
      <c r="J10" s="59"/>
      <c r="K10" s="63"/>
      <c r="L10" s="67"/>
      <c r="M10" s="67"/>
      <c r="N10" s="67"/>
      <c r="O10" s="67"/>
      <c r="P10" s="68"/>
      <c r="R10" s="28">
        <v>4</v>
      </c>
      <c r="S10" s="28" t="s">
        <v>42</v>
      </c>
      <c r="T10" s="30" t="s">
        <v>34</v>
      </c>
      <c r="U10" s="17"/>
      <c r="V10" s="44" t="s">
        <v>48</v>
      </c>
      <c r="W10" t="s">
        <v>57</v>
      </c>
    </row>
    <row r="11" spans="1:25" ht="18" customHeight="1" thickBot="1" x14ac:dyDescent="0.35">
      <c r="A11" s="42"/>
      <c r="B11" s="42"/>
      <c r="C11" s="1"/>
      <c r="D11" s="2"/>
      <c r="E11" s="2"/>
      <c r="F11" s="2"/>
      <c r="G11" s="2"/>
      <c r="H11" s="60"/>
      <c r="I11" s="61"/>
      <c r="J11" s="61"/>
      <c r="K11" s="64"/>
      <c r="L11" s="69"/>
      <c r="M11" s="69"/>
      <c r="N11" s="69"/>
      <c r="O11" s="69"/>
      <c r="P11" s="70"/>
      <c r="R11" s="28">
        <v>5</v>
      </c>
      <c r="S11" s="28" t="s">
        <v>43</v>
      </c>
      <c r="T11" s="30" t="s">
        <v>35</v>
      </c>
      <c r="U11" s="17"/>
      <c r="V11" s="45"/>
      <c r="W11" t="s">
        <v>58</v>
      </c>
    </row>
    <row r="12" spans="1:25" ht="16.149999999999999" customHeight="1" x14ac:dyDescent="0.25">
      <c r="A12" s="103" t="s">
        <v>12</v>
      </c>
      <c r="B12" s="104"/>
      <c r="C12" s="105" t="s">
        <v>0</v>
      </c>
      <c r="D12" s="105"/>
      <c r="E12" s="105"/>
      <c r="F12" s="105"/>
      <c r="G12" s="105"/>
      <c r="H12" s="81" t="s">
        <v>1</v>
      </c>
      <c r="I12" s="82"/>
      <c r="J12" s="82"/>
      <c r="K12" s="82"/>
      <c r="L12" s="83"/>
      <c r="M12" s="84" t="s">
        <v>16</v>
      </c>
      <c r="N12" s="85"/>
      <c r="O12" s="86"/>
      <c r="P12" s="93" t="s">
        <v>3</v>
      </c>
      <c r="R12" s="28">
        <v>6</v>
      </c>
      <c r="S12" s="28" t="s">
        <v>44</v>
      </c>
      <c r="T12" s="30" t="s">
        <v>36</v>
      </c>
      <c r="U12" s="17"/>
      <c r="V12" s="45"/>
      <c r="W12" t="s">
        <v>67</v>
      </c>
    </row>
    <row r="13" spans="1:25" ht="16.149999999999999" customHeight="1" x14ac:dyDescent="0.25">
      <c r="A13" s="3" t="s">
        <v>13</v>
      </c>
      <c r="B13" s="33">
        <v>0</v>
      </c>
      <c r="C13" s="96" t="s">
        <v>14</v>
      </c>
      <c r="D13" s="96"/>
      <c r="E13" s="96"/>
      <c r="F13" s="96"/>
      <c r="G13" s="96"/>
      <c r="H13" s="97" t="s">
        <v>2</v>
      </c>
      <c r="I13" s="98"/>
      <c r="J13" s="99"/>
      <c r="K13" s="97" t="s">
        <v>15</v>
      </c>
      <c r="L13" s="99"/>
      <c r="M13" s="87"/>
      <c r="N13" s="88"/>
      <c r="O13" s="89"/>
      <c r="P13" s="94"/>
      <c r="R13" s="28">
        <v>7</v>
      </c>
      <c r="S13" s="28" t="s">
        <v>45</v>
      </c>
      <c r="T13" s="30" t="s">
        <v>37</v>
      </c>
      <c r="U13" s="12"/>
      <c r="V13" s="44" t="s">
        <v>49</v>
      </c>
      <c r="W13" t="s">
        <v>59</v>
      </c>
    </row>
    <row r="14" spans="1:25" ht="16.149999999999999" customHeight="1" thickBot="1" x14ac:dyDescent="0.3">
      <c r="A14" s="113" t="s">
        <v>11</v>
      </c>
      <c r="B14" s="114"/>
      <c r="C14" s="115" t="s">
        <v>66</v>
      </c>
      <c r="D14" s="116"/>
      <c r="E14" s="117" t="s">
        <v>88</v>
      </c>
      <c r="F14" s="118"/>
      <c r="G14" s="114"/>
      <c r="H14" s="100"/>
      <c r="I14" s="101"/>
      <c r="J14" s="102"/>
      <c r="K14" s="100"/>
      <c r="L14" s="102"/>
      <c r="M14" s="90"/>
      <c r="N14" s="91"/>
      <c r="O14" s="92"/>
      <c r="P14" s="95"/>
      <c r="R14" s="28">
        <v>8</v>
      </c>
      <c r="S14" s="28" t="s">
        <v>46</v>
      </c>
      <c r="T14" s="30" t="s">
        <v>38</v>
      </c>
      <c r="U14" s="12"/>
      <c r="V14" s="45"/>
      <c r="W14" t="s">
        <v>60</v>
      </c>
    </row>
    <row r="15" spans="1:25" ht="25.15" customHeight="1" x14ac:dyDescent="0.25">
      <c r="A15" s="31"/>
      <c r="B15" s="119" t="s">
        <v>175</v>
      </c>
      <c r="C15" s="119"/>
      <c r="D15" s="119"/>
      <c r="E15" s="119"/>
      <c r="F15" s="119"/>
      <c r="G15" s="119"/>
      <c r="H15" s="120">
        <v>5</v>
      </c>
      <c r="I15" s="121"/>
      <c r="J15" s="122"/>
      <c r="K15" s="123">
        <v>289</v>
      </c>
      <c r="L15" s="124"/>
      <c r="M15" s="106" t="s">
        <v>219</v>
      </c>
      <c r="N15" s="107"/>
      <c r="O15" s="108"/>
      <c r="P15" s="34"/>
      <c r="R15" s="28">
        <v>9</v>
      </c>
      <c r="S15" s="28" t="s">
        <v>96</v>
      </c>
      <c r="T15" s="30" t="s">
        <v>93</v>
      </c>
      <c r="U15" s="12"/>
      <c r="V15" s="45"/>
      <c r="W15" t="s">
        <v>61</v>
      </c>
    </row>
    <row r="16" spans="1:25" ht="25.15" customHeight="1" x14ac:dyDescent="0.25">
      <c r="A16" s="32"/>
      <c r="B16" s="109"/>
      <c r="C16" s="109"/>
      <c r="D16" s="109"/>
      <c r="E16" s="109"/>
      <c r="F16" s="109"/>
      <c r="G16" s="109"/>
      <c r="H16" s="110"/>
      <c r="I16" s="110"/>
      <c r="J16" s="110"/>
      <c r="K16" s="111"/>
      <c r="L16" s="111"/>
      <c r="M16" s="112"/>
      <c r="N16" s="112"/>
      <c r="O16" s="112"/>
      <c r="P16" s="35"/>
      <c r="R16" s="28">
        <v>10</v>
      </c>
      <c r="S16" s="28" t="s">
        <v>98</v>
      </c>
      <c r="T16" s="30" t="s">
        <v>94</v>
      </c>
      <c r="U16" s="12"/>
      <c r="V16" s="44" t="s">
        <v>50</v>
      </c>
      <c r="W16" t="s">
        <v>62</v>
      </c>
    </row>
    <row r="17" spans="1:23" ht="25.15" customHeight="1" x14ac:dyDescent="0.25">
      <c r="A17" s="32"/>
      <c r="B17" s="109"/>
      <c r="C17" s="109"/>
      <c r="D17" s="109"/>
      <c r="E17" s="109"/>
      <c r="F17" s="109"/>
      <c r="G17" s="109"/>
      <c r="H17" s="110"/>
      <c r="I17" s="110"/>
      <c r="J17" s="110"/>
      <c r="K17" s="111"/>
      <c r="L17" s="111"/>
      <c r="M17" s="112"/>
      <c r="N17" s="112"/>
      <c r="O17" s="112"/>
      <c r="P17" s="35"/>
      <c r="R17" s="28">
        <v>11</v>
      </c>
      <c r="S17" s="28" t="s">
        <v>97</v>
      </c>
      <c r="T17" s="30" t="s">
        <v>95</v>
      </c>
      <c r="U17" s="12"/>
      <c r="V17" s="45"/>
      <c r="W17" t="s">
        <v>63</v>
      </c>
    </row>
    <row r="18" spans="1:23" ht="25.15" customHeight="1" x14ac:dyDescent="0.25">
      <c r="A18" s="32"/>
      <c r="B18" s="109"/>
      <c r="C18" s="109"/>
      <c r="D18" s="109"/>
      <c r="E18" s="109"/>
      <c r="F18" s="109"/>
      <c r="G18" s="109"/>
      <c r="H18" s="110"/>
      <c r="I18" s="110"/>
      <c r="J18" s="110"/>
      <c r="K18" s="111"/>
      <c r="L18" s="111"/>
      <c r="M18" s="112"/>
      <c r="N18" s="112"/>
      <c r="O18" s="112"/>
      <c r="P18" s="35"/>
      <c r="R18" s="28">
        <v>12</v>
      </c>
      <c r="S18" s="28" t="s">
        <v>101</v>
      </c>
      <c r="T18" s="30" t="s">
        <v>102</v>
      </c>
      <c r="U18" s="12"/>
      <c r="V18" s="45"/>
      <c r="W18" t="s">
        <v>64</v>
      </c>
    </row>
    <row r="19" spans="1:23" ht="25.15" customHeight="1" x14ac:dyDescent="0.25">
      <c r="A19" s="32"/>
      <c r="B19" s="109"/>
      <c r="C19" s="109"/>
      <c r="D19" s="109"/>
      <c r="E19" s="109"/>
      <c r="F19" s="109"/>
      <c r="G19" s="109"/>
      <c r="H19" s="110"/>
      <c r="I19" s="110"/>
      <c r="J19" s="110"/>
      <c r="K19" s="111"/>
      <c r="L19" s="111"/>
      <c r="M19" s="112"/>
      <c r="N19" s="112"/>
      <c r="O19" s="112"/>
      <c r="P19" s="35"/>
      <c r="R19" s="28">
        <v>13</v>
      </c>
      <c r="S19" s="28" t="s">
        <v>104</v>
      </c>
      <c r="T19" s="30" t="s">
        <v>103</v>
      </c>
      <c r="U19" s="12"/>
      <c r="V19" s="44" t="s">
        <v>51</v>
      </c>
      <c r="W19" t="s">
        <v>65</v>
      </c>
    </row>
    <row r="20" spans="1:23" ht="25.15" customHeight="1" x14ac:dyDescent="0.25">
      <c r="A20" s="32"/>
      <c r="B20" s="109"/>
      <c r="C20" s="109"/>
      <c r="D20" s="109"/>
      <c r="E20" s="109"/>
      <c r="F20" s="109"/>
      <c r="G20" s="109"/>
      <c r="H20" s="110"/>
      <c r="I20" s="110"/>
      <c r="J20" s="110"/>
      <c r="K20" s="111"/>
      <c r="L20" s="111"/>
      <c r="M20" s="125"/>
      <c r="N20" s="112"/>
      <c r="O20" s="112"/>
      <c r="P20" s="35"/>
      <c r="R20" s="28">
        <v>14</v>
      </c>
      <c r="S20" s="28" t="s">
        <v>105</v>
      </c>
      <c r="T20" s="30" t="s">
        <v>106</v>
      </c>
      <c r="U20" s="12"/>
      <c r="V20" s="45"/>
      <c r="W20" t="s">
        <v>66</v>
      </c>
    </row>
    <row r="21" spans="1:23" ht="25.15" customHeight="1" x14ac:dyDescent="0.25">
      <c r="A21" s="32"/>
      <c r="B21" s="109"/>
      <c r="C21" s="109"/>
      <c r="D21" s="109"/>
      <c r="E21" s="109"/>
      <c r="F21" s="109"/>
      <c r="G21" s="109"/>
      <c r="H21" s="110"/>
      <c r="I21" s="110"/>
      <c r="J21" s="110"/>
      <c r="K21" s="111"/>
      <c r="L21" s="111"/>
      <c r="M21" s="112"/>
      <c r="N21" s="112"/>
      <c r="O21" s="112"/>
      <c r="P21" s="35"/>
      <c r="R21" s="28">
        <v>15</v>
      </c>
      <c r="S21" s="28" t="s">
        <v>108</v>
      </c>
      <c r="T21" s="30" t="s">
        <v>107</v>
      </c>
      <c r="U21" s="12"/>
      <c r="V21" s="45"/>
      <c r="W21" t="s">
        <v>68</v>
      </c>
    </row>
    <row r="22" spans="1:23" ht="25.15" customHeight="1" x14ac:dyDescent="0.25">
      <c r="A22" s="32"/>
      <c r="B22" s="109"/>
      <c r="C22" s="109"/>
      <c r="D22" s="109"/>
      <c r="E22" s="109"/>
      <c r="F22" s="109"/>
      <c r="G22" s="109"/>
      <c r="H22" s="110"/>
      <c r="I22" s="110"/>
      <c r="J22" s="110"/>
      <c r="K22" s="111"/>
      <c r="L22" s="111"/>
      <c r="M22" s="112"/>
      <c r="N22" s="112"/>
      <c r="O22" s="112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09"/>
      <c r="C23" s="109"/>
      <c r="D23" s="109"/>
      <c r="E23" s="109"/>
      <c r="F23" s="109"/>
      <c r="G23" s="109"/>
      <c r="H23" s="110"/>
      <c r="I23" s="110"/>
      <c r="J23" s="110"/>
      <c r="K23" s="111"/>
      <c r="L23" s="111"/>
      <c r="M23" s="112"/>
      <c r="N23" s="112"/>
      <c r="O23" s="112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09"/>
      <c r="C24" s="109"/>
      <c r="D24" s="109"/>
      <c r="E24" s="109"/>
      <c r="F24" s="109"/>
      <c r="G24" s="109"/>
      <c r="H24" s="110"/>
      <c r="I24" s="110"/>
      <c r="J24" s="110"/>
      <c r="K24" s="111"/>
      <c r="L24" s="111"/>
      <c r="M24" s="112"/>
      <c r="N24" s="112"/>
      <c r="O24" s="112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09"/>
      <c r="C25" s="109"/>
      <c r="D25" s="109"/>
      <c r="E25" s="109"/>
      <c r="F25" s="109"/>
      <c r="G25" s="109"/>
      <c r="H25" s="110"/>
      <c r="I25" s="110"/>
      <c r="J25" s="110"/>
      <c r="K25" s="111"/>
      <c r="L25" s="111"/>
      <c r="M25" s="112"/>
      <c r="N25" s="112"/>
      <c r="O25" s="112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09"/>
      <c r="C26" s="109"/>
      <c r="D26" s="109"/>
      <c r="E26" s="109"/>
      <c r="F26" s="109"/>
      <c r="G26" s="109"/>
      <c r="H26" s="110"/>
      <c r="I26" s="110"/>
      <c r="J26" s="110"/>
      <c r="K26" s="111"/>
      <c r="L26" s="111"/>
      <c r="M26" s="112"/>
      <c r="N26" s="112"/>
      <c r="O26" s="112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09"/>
      <c r="C27" s="109"/>
      <c r="D27" s="109"/>
      <c r="E27" s="109"/>
      <c r="F27" s="109"/>
      <c r="G27" s="109"/>
      <c r="H27" s="110"/>
      <c r="I27" s="110"/>
      <c r="J27" s="110"/>
      <c r="K27" s="111"/>
      <c r="L27" s="111"/>
      <c r="M27" s="112"/>
      <c r="N27" s="112"/>
      <c r="O27" s="112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09"/>
      <c r="C28" s="109"/>
      <c r="D28" s="109"/>
      <c r="E28" s="109"/>
      <c r="F28" s="109"/>
      <c r="G28" s="109"/>
      <c r="H28" s="110"/>
      <c r="I28" s="110"/>
      <c r="J28" s="110"/>
      <c r="K28" s="111"/>
      <c r="L28" s="111"/>
      <c r="M28" s="112"/>
      <c r="N28" s="112"/>
      <c r="O28" s="112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09"/>
      <c r="C29" s="109"/>
      <c r="D29" s="109"/>
      <c r="E29" s="109"/>
      <c r="F29" s="109"/>
      <c r="G29" s="109"/>
      <c r="H29" s="110"/>
      <c r="I29" s="110"/>
      <c r="J29" s="110"/>
      <c r="K29" s="111"/>
      <c r="L29" s="111"/>
      <c r="M29" s="112"/>
      <c r="N29" s="112"/>
      <c r="O29" s="112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09"/>
      <c r="C30" s="109"/>
      <c r="D30" s="109"/>
      <c r="E30" s="109"/>
      <c r="F30" s="109"/>
      <c r="G30" s="109"/>
      <c r="H30" s="110"/>
      <c r="I30" s="110"/>
      <c r="J30" s="110"/>
      <c r="K30" s="111"/>
      <c r="L30" s="111"/>
      <c r="M30" s="112"/>
      <c r="N30" s="112"/>
      <c r="O30" s="112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09"/>
      <c r="C31" s="109"/>
      <c r="D31" s="109"/>
      <c r="E31" s="109"/>
      <c r="F31" s="109"/>
      <c r="G31" s="109"/>
      <c r="H31" s="110"/>
      <c r="I31" s="110"/>
      <c r="J31" s="110"/>
      <c r="K31" s="111"/>
      <c r="L31" s="111"/>
      <c r="M31" s="112"/>
      <c r="N31" s="112"/>
      <c r="O31" s="112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09"/>
      <c r="C32" s="109"/>
      <c r="D32" s="109"/>
      <c r="E32" s="109"/>
      <c r="F32" s="109"/>
      <c r="G32" s="109"/>
      <c r="H32" s="110"/>
      <c r="I32" s="110"/>
      <c r="J32" s="110"/>
      <c r="K32" s="111"/>
      <c r="L32" s="111"/>
      <c r="M32" s="112"/>
      <c r="N32" s="112"/>
      <c r="O32" s="112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09"/>
      <c r="C33" s="109"/>
      <c r="D33" s="109"/>
      <c r="E33" s="109"/>
      <c r="F33" s="109"/>
      <c r="G33" s="109"/>
      <c r="H33" s="110"/>
      <c r="I33" s="110"/>
      <c r="J33" s="110"/>
      <c r="K33" s="111"/>
      <c r="L33" s="111"/>
      <c r="M33" s="112"/>
      <c r="N33" s="112"/>
      <c r="O33" s="112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09"/>
      <c r="C34" s="109"/>
      <c r="D34" s="109"/>
      <c r="E34" s="109"/>
      <c r="F34" s="109"/>
      <c r="G34" s="109"/>
      <c r="H34" s="110"/>
      <c r="I34" s="110"/>
      <c r="J34" s="110"/>
      <c r="K34" s="111"/>
      <c r="L34" s="111"/>
      <c r="M34" s="112"/>
      <c r="N34" s="112"/>
      <c r="O34" s="112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26" t="s">
        <v>17</v>
      </c>
      <c r="B35" s="127"/>
      <c r="C35" s="127"/>
      <c r="D35" s="127"/>
      <c r="E35" s="127"/>
      <c r="F35" s="127"/>
      <c r="G35" s="116"/>
      <c r="H35" s="128">
        <f>SUM(H15:J34)</f>
        <v>5</v>
      </c>
      <c r="I35" s="129"/>
      <c r="J35" s="130"/>
      <c r="K35" s="131">
        <f>SUM(K15:L34)</f>
        <v>289</v>
      </c>
      <c r="L35" s="132"/>
      <c r="M35" s="133"/>
      <c r="N35" s="134"/>
      <c r="O35" s="135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37" t="s">
        <v>22</v>
      </c>
      <c r="B37" s="138"/>
      <c r="C37" s="138"/>
      <c r="D37" s="139" t="s">
        <v>232</v>
      </c>
      <c r="E37" s="139"/>
      <c r="F37" s="139"/>
      <c r="G37" s="138" t="s">
        <v>23</v>
      </c>
      <c r="H37" s="138"/>
      <c r="I37" s="138"/>
      <c r="J37" s="138"/>
      <c r="K37" s="138"/>
      <c r="L37" s="138"/>
      <c r="M37" s="140" t="s">
        <v>230</v>
      </c>
      <c r="N37" s="140"/>
      <c r="O37" s="140"/>
      <c r="P37" s="141"/>
      <c r="R37" s="23"/>
      <c r="S37" s="24"/>
      <c r="T37" s="21"/>
      <c r="W37" t="s">
        <v>84</v>
      </c>
    </row>
    <row r="38" spans="1:23" ht="31.9" customHeight="1" x14ac:dyDescent="0.25">
      <c r="A38" s="142" t="s">
        <v>24</v>
      </c>
      <c r="B38" s="143"/>
      <c r="C38" s="143"/>
      <c r="D38" s="144" t="s">
        <v>231</v>
      </c>
      <c r="E38" s="144"/>
      <c r="F38" s="144"/>
      <c r="G38" s="143" t="s">
        <v>25</v>
      </c>
      <c r="H38" s="143"/>
      <c r="I38" s="143"/>
      <c r="J38" s="143"/>
      <c r="K38" s="143"/>
      <c r="L38" s="143"/>
      <c r="M38" s="145" t="s">
        <v>229</v>
      </c>
      <c r="N38" s="145"/>
      <c r="O38" s="145"/>
      <c r="P38" s="146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36" t="s">
        <v>18</v>
      </c>
      <c r="B40" s="136"/>
      <c r="C40" s="136"/>
      <c r="D40" s="4"/>
      <c r="E40" s="4"/>
      <c r="F40" s="136" t="s">
        <v>19</v>
      </c>
      <c r="G40" s="136"/>
      <c r="H40" s="36"/>
      <c r="I40" s="36"/>
      <c r="J40" s="36"/>
      <c r="K40" s="4"/>
      <c r="L40" s="136" t="s">
        <v>20</v>
      </c>
      <c r="M40" s="136"/>
      <c r="N40" s="136"/>
      <c r="O40" s="136"/>
      <c r="P40" s="136"/>
      <c r="W40" t="s">
        <v>87</v>
      </c>
    </row>
    <row r="41" spans="1:23" ht="8.25" customHeight="1" x14ac:dyDescent="0.25"/>
    <row r="42" spans="1:23" ht="36.75" customHeight="1" x14ac:dyDescent="0.25">
      <c r="A42" s="37"/>
      <c r="B42" s="37"/>
      <c r="C42" s="37"/>
      <c r="D42" s="38" t="s">
        <v>27</v>
      </c>
      <c r="E42" s="38"/>
      <c r="F42" s="38"/>
      <c r="G42" s="38"/>
      <c r="H42" s="38"/>
      <c r="I42" s="38"/>
      <c r="J42" s="38"/>
      <c r="K42" s="38"/>
      <c r="L42" s="38"/>
      <c r="M42" s="39" t="str">
        <f>M2</f>
        <v>FORM STR 03
REVISION NO 01</v>
      </c>
      <c r="N42" s="39"/>
      <c r="O42" s="39"/>
      <c r="P42" s="39"/>
      <c r="Q42" s="10"/>
      <c r="W42" t="s">
        <v>111</v>
      </c>
    </row>
    <row r="43" spans="1:23" ht="22.15" customHeight="1" x14ac:dyDescent="0.25">
      <c r="A43" s="37"/>
      <c r="B43" s="37"/>
      <c r="C43" s="37"/>
      <c r="D43" s="38"/>
      <c r="E43" s="38"/>
      <c r="F43" s="38"/>
      <c r="G43" s="38"/>
      <c r="H43" s="38"/>
      <c r="I43" s="38"/>
      <c r="J43" s="38"/>
      <c r="K43" s="38"/>
      <c r="L43" s="38"/>
      <c r="M43" s="39"/>
      <c r="N43" s="39"/>
      <c r="O43" s="39"/>
      <c r="P43" s="39"/>
      <c r="Q43" s="10"/>
    </row>
    <row r="44" spans="1:23" ht="17.45" customHeight="1" x14ac:dyDescent="0.25">
      <c r="A44" s="40"/>
      <c r="B44" s="40"/>
      <c r="C44" s="40"/>
      <c r="D44" s="41" t="s">
        <v>21</v>
      </c>
      <c r="E44" s="41"/>
      <c r="F44" s="41"/>
      <c r="G44" s="41"/>
      <c r="H44" s="41"/>
      <c r="I44" s="41"/>
      <c r="J44" s="41"/>
      <c r="K44" s="41"/>
      <c r="L44" s="41"/>
      <c r="M44" s="11"/>
    </row>
    <row r="45" spans="1:23" ht="22.15" customHeight="1" thickBot="1" x14ac:dyDescent="0.35">
      <c r="A45" s="42"/>
      <c r="B45" s="42"/>
      <c r="C45" s="1"/>
      <c r="D45" s="43" t="s">
        <v>90</v>
      </c>
      <c r="E45" s="43"/>
      <c r="F45" s="43"/>
      <c r="G45" s="43"/>
      <c r="H45" s="43"/>
      <c r="I45" s="43"/>
      <c r="J45" s="43"/>
      <c r="K45" s="43"/>
      <c r="L45" s="43"/>
      <c r="M45" s="2"/>
      <c r="N45" s="37"/>
      <c r="O45" s="37"/>
      <c r="P45" s="37"/>
    </row>
    <row r="46" spans="1:23" ht="15.6" customHeight="1" thickBot="1" x14ac:dyDescent="0.35">
      <c r="A46" s="71" t="s">
        <v>9</v>
      </c>
      <c r="B46" s="72"/>
      <c r="C46" s="73" t="str">
        <f>C6</f>
        <v>O542</v>
      </c>
      <c r="D46" s="73"/>
      <c r="E46" s="73"/>
      <c r="F46" s="74"/>
      <c r="G46" s="2"/>
      <c r="H46" s="75" t="s">
        <v>4</v>
      </c>
      <c r="I46" s="76"/>
      <c r="J46" s="76"/>
      <c r="K46" s="8" t="s">
        <v>7</v>
      </c>
      <c r="L46" s="77" t="str">
        <f>L6</f>
        <v>JP 523798</v>
      </c>
      <c r="M46" s="77"/>
      <c r="N46" s="77"/>
      <c r="O46" s="77"/>
      <c r="P46" s="78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52" t="s">
        <v>5</v>
      </c>
      <c r="I47" s="53"/>
      <c r="J47" s="53"/>
      <c r="K47" s="9" t="s">
        <v>7</v>
      </c>
      <c r="L47" s="79">
        <f ca="1">L7</f>
        <v>45689.589567129631</v>
      </c>
      <c r="M47" s="79"/>
      <c r="N47" s="79"/>
      <c r="O47" s="79"/>
      <c r="P47" s="80"/>
      <c r="R47" s="88"/>
      <c r="S47" s="88"/>
      <c r="T47" s="147"/>
      <c r="U47" s="26"/>
      <c r="V47" s="147"/>
    </row>
    <row r="48" spans="1:23" ht="18" customHeight="1" x14ac:dyDescent="0.3">
      <c r="A48" s="46" t="str">
        <f>A8</f>
        <v>Summit Alliance Port Limited (OCL).
Katghar, North Patenga, Chitagong.</v>
      </c>
      <c r="B48" s="47"/>
      <c r="C48" s="47"/>
      <c r="D48" s="47"/>
      <c r="E48" s="47"/>
      <c r="F48" s="48"/>
      <c r="G48" s="2"/>
      <c r="H48" s="52" t="s">
        <v>8</v>
      </c>
      <c r="I48" s="53"/>
      <c r="J48" s="53"/>
      <c r="K48" s="9" t="s">
        <v>7</v>
      </c>
      <c r="L48" s="54" t="str">
        <f>L8</f>
        <v>SEA</v>
      </c>
      <c r="M48" s="54"/>
      <c r="N48" s="54"/>
      <c r="O48" s="54"/>
      <c r="P48" s="55"/>
      <c r="R48" s="88"/>
      <c r="S48" s="88"/>
      <c r="T48" s="148"/>
      <c r="U48" s="26"/>
      <c r="V48" s="148"/>
    </row>
    <row r="49" spans="1:22" ht="17.45" customHeight="1" x14ac:dyDescent="0.3">
      <c r="A49" s="46"/>
      <c r="B49" s="47"/>
      <c r="C49" s="47"/>
      <c r="D49" s="47"/>
      <c r="E49" s="47"/>
      <c r="F49" s="48"/>
      <c r="G49" s="2"/>
      <c r="H49" s="56" t="s">
        <v>6</v>
      </c>
      <c r="I49" s="57"/>
      <c r="J49" s="57"/>
      <c r="K49" s="62" t="s">
        <v>7</v>
      </c>
      <c r="L49" s="65" t="str">
        <f>L9</f>
        <v>M/S. Kabir &amp; Co.
1104DT Road West Madarbari,
Chattogram, Bangladesh.</v>
      </c>
      <c r="M49" s="65"/>
      <c r="N49" s="65"/>
      <c r="O49" s="65"/>
      <c r="P49" s="66"/>
      <c r="R49" s="88"/>
      <c r="S49" s="88"/>
      <c r="T49" s="148"/>
      <c r="U49" s="26"/>
      <c r="V49" s="148"/>
    </row>
    <row r="50" spans="1:22" ht="18" thickBot="1" x14ac:dyDescent="0.35">
      <c r="A50" s="49"/>
      <c r="B50" s="50"/>
      <c r="C50" s="50"/>
      <c r="D50" s="50"/>
      <c r="E50" s="50"/>
      <c r="F50" s="51"/>
      <c r="G50" s="2"/>
      <c r="H50" s="58"/>
      <c r="I50" s="59"/>
      <c r="J50" s="59"/>
      <c r="K50" s="63"/>
      <c r="L50" s="67"/>
      <c r="M50" s="67"/>
      <c r="N50" s="67"/>
      <c r="O50" s="67"/>
      <c r="P50" s="68"/>
      <c r="R50" s="88"/>
      <c r="S50" s="88"/>
      <c r="T50" s="147"/>
      <c r="U50" s="26"/>
      <c r="V50" s="147"/>
    </row>
    <row r="51" spans="1:22" ht="18" customHeight="1" thickBot="1" x14ac:dyDescent="0.35">
      <c r="A51" s="42"/>
      <c r="B51" s="42"/>
      <c r="C51" s="1"/>
      <c r="D51" s="2"/>
      <c r="E51" s="2"/>
      <c r="F51" s="2"/>
      <c r="G51" s="2"/>
      <c r="H51" s="60"/>
      <c r="I51" s="61"/>
      <c r="J51" s="61"/>
      <c r="K51" s="64"/>
      <c r="L51" s="69"/>
      <c r="M51" s="69"/>
      <c r="N51" s="69"/>
      <c r="O51" s="69"/>
      <c r="P51" s="70"/>
      <c r="R51" s="88"/>
      <c r="S51" s="88"/>
      <c r="T51" s="147"/>
      <c r="U51" s="26"/>
      <c r="V51" s="148"/>
    </row>
    <row r="52" spans="1:22" ht="16.149999999999999" customHeight="1" x14ac:dyDescent="0.25">
      <c r="A52" s="103" t="s">
        <v>12</v>
      </c>
      <c r="B52" s="104"/>
      <c r="C52" s="105" t="s">
        <v>0</v>
      </c>
      <c r="D52" s="105"/>
      <c r="E52" s="105"/>
      <c r="F52" s="105"/>
      <c r="G52" s="105"/>
      <c r="H52" s="81" t="s">
        <v>1</v>
      </c>
      <c r="I52" s="82"/>
      <c r="J52" s="82"/>
      <c r="K52" s="82"/>
      <c r="L52" s="83"/>
      <c r="M52" s="84" t="s">
        <v>16</v>
      </c>
      <c r="N52" s="85"/>
      <c r="O52" s="86"/>
      <c r="P52" s="93" t="s">
        <v>3</v>
      </c>
      <c r="R52" s="88"/>
      <c r="S52" s="88"/>
      <c r="T52" s="147"/>
      <c r="U52" s="26"/>
      <c r="V52" s="148"/>
    </row>
    <row r="53" spans="1:22" ht="16.149999999999999" customHeight="1" x14ac:dyDescent="0.25">
      <c r="A53" s="3" t="s">
        <v>13</v>
      </c>
      <c r="B53" s="33">
        <f>B13</f>
        <v>0</v>
      </c>
      <c r="C53" s="96" t="str">
        <f>C13</f>
        <v>Delivery of Readymade Garments</v>
      </c>
      <c r="D53" s="96"/>
      <c r="E53" s="96"/>
      <c r="F53" s="96"/>
      <c r="G53" s="96"/>
      <c r="H53" s="97" t="s">
        <v>2</v>
      </c>
      <c r="I53" s="98"/>
      <c r="J53" s="99"/>
      <c r="K53" s="97" t="s">
        <v>15</v>
      </c>
      <c r="L53" s="99"/>
      <c r="M53" s="87"/>
      <c r="N53" s="88"/>
      <c r="O53" s="89"/>
      <c r="P53" s="94"/>
      <c r="R53" s="88"/>
      <c r="S53" s="88"/>
      <c r="T53" s="147"/>
      <c r="V53" s="147"/>
    </row>
    <row r="54" spans="1:22" ht="16.149999999999999" customHeight="1" thickBot="1" x14ac:dyDescent="0.3">
      <c r="A54" s="113" t="s">
        <v>11</v>
      </c>
      <c r="B54" s="114"/>
      <c r="C54" s="115" t="str">
        <f>C14</f>
        <v>H &amp; M</v>
      </c>
      <c r="D54" s="116"/>
      <c r="E54" s="117" t="s">
        <v>88</v>
      </c>
      <c r="F54" s="118"/>
      <c r="G54" s="114"/>
      <c r="H54" s="100"/>
      <c r="I54" s="101"/>
      <c r="J54" s="102"/>
      <c r="K54" s="100"/>
      <c r="L54" s="102"/>
      <c r="M54" s="90"/>
      <c r="N54" s="91"/>
      <c r="O54" s="92"/>
      <c r="P54" s="95"/>
      <c r="R54" s="88"/>
      <c r="S54" s="88"/>
      <c r="T54" s="147"/>
      <c r="V54" s="148"/>
    </row>
    <row r="55" spans="1:22" ht="25.15" customHeight="1" x14ac:dyDescent="0.25">
      <c r="A55" s="31">
        <f>A15</f>
        <v>0</v>
      </c>
      <c r="B55" s="119" t="str">
        <f>B15</f>
        <v>277743-7952</v>
      </c>
      <c r="C55" s="119"/>
      <c r="D55" s="119"/>
      <c r="E55" s="119"/>
      <c r="F55" s="119"/>
      <c r="G55" s="119"/>
      <c r="H55" s="120">
        <f>H15</f>
        <v>5</v>
      </c>
      <c r="I55" s="121"/>
      <c r="J55" s="122"/>
      <c r="K55" s="123">
        <f>K15</f>
        <v>289</v>
      </c>
      <c r="L55" s="124"/>
      <c r="M55" s="106" t="str">
        <f>M15</f>
        <v>TW</v>
      </c>
      <c r="N55" s="107"/>
      <c r="O55" s="108"/>
      <c r="P55" s="35">
        <f>P15</f>
        <v>0</v>
      </c>
      <c r="R55" s="88"/>
      <c r="S55" s="88"/>
      <c r="T55" s="147"/>
      <c r="V55" s="148"/>
    </row>
    <row r="56" spans="1:22" ht="25.15" customHeight="1" x14ac:dyDescent="0.25">
      <c r="A56" s="32">
        <f>A16</f>
        <v>0</v>
      </c>
      <c r="B56" s="109">
        <f>B16</f>
        <v>0</v>
      </c>
      <c r="C56" s="109"/>
      <c r="D56" s="109"/>
      <c r="E56" s="109"/>
      <c r="F56" s="109"/>
      <c r="G56" s="109"/>
      <c r="H56" s="110">
        <f>H16</f>
        <v>0</v>
      </c>
      <c r="I56" s="110"/>
      <c r="J56" s="110"/>
      <c r="K56" s="111">
        <f>K16</f>
        <v>0</v>
      </c>
      <c r="L56" s="111"/>
      <c r="M56" s="112">
        <f t="shared" ref="M56:M74" si="0">M16</f>
        <v>0</v>
      </c>
      <c r="N56" s="112"/>
      <c r="O56" s="112"/>
      <c r="P56" s="35">
        <f>P16</f>
        <v>0</v>
      </c>
      <c r="R56" s="88"/>
      <c r="S56" s="88"/>
      <c r="T56" s="67"/>
      <c r="V56" s="147"/>
    </row>
    <row r="57" spans="1:22" ht="25.15" customHeight="1" x14ac:dyDescent="0.25">
      <c r="A57" s="32">
        <f t="shared" ref="A57:B72" si="1">A17</f>
        <v>0</v>
      </c>
      <c r="B57" s="109">
        <f t="shared" si="1"/>
        <v>0</v>
      </c>
      <c r="C57" s="109"/>
      <c r="D57" s="109"/>
      <c r="E57" s="109"/>
      <c r="F57" s="109"/>
      <c r="G57" s="109"/>
      <c r="H57" s="110">
        <f>H17</f>
        <v>0</v>
      </c>
      <c r="I57" s="110"/>
      <c r="J57" s="110"/>
      <c r="K57" s="111">
        <f>K17</f>
        <v>0</v>
      </c>
      <c r="L57" s="111"/>
      <c r="M57" s="112">
        <f t="shared" si="0"/>
        <v>0</v>
      </c>
      <c r="N57" s="112"/>
      <c r="O57" s="112"/>
      <c r="P57" s="35">
        <f t="shared" ref="P57:P74" si="2">P17</f>
        <v>0</v>
      </c>
      <c r="R57" s="88"/>
      <c r="S57" s="88"/>
      <c r="T57" s="67"/>
      <c r="V57" s="148"/>
    </row>
    <row r="58" spans="1:22" ht="25.15" customHeight="1" x14ac:dyDescent="0.25">
      <c r="A58" s="32">
        <f t="shared" si="1"/>
        <v>0</v>
      </c>
      <c r="B58" s="109">
        <f t="shared" si="1"/>
        <v>0</v>
      </c>
      <c r="C58" s="109"/>
      <c r="D58" s="109"/>
      <c r="E58" s="109"/>
      <c r="F58" s="109"/>
      <c r="G58" s="109"/>
      <c r="H58" s="110">
        <f t="shared" ref="H58:H74" si="3">H18</f>
        <v>0</v>
      </c>
      <c r="I58" s="110"/>
      <c r="J58" s="110"/>
      <c r="K58" s="111">
        <f t="shared" ref="K58:K74" si="4">K18</f>
        <v>0</v>
      </c>
      <c r="L58" s="111"/>
      <c r="M58" s="112">
        <f t="shared" si="0"/>
        <v>0</v>
      </c>
      <c r="N58" s="112"/>
      <c r="O58" s="112"/>
      <c r="P58" s="35">
        <f t="shared" si="2"/>
        <v>0</v>
      </c>
      <c r="R58" s="88"/>
      <c r="S58" s="88"/>
      <c r="T58" s="67"/>
      <c r="V58" s="148"/>
    </row>
    <row r="59" spans="1:22" ht="25.15" customHeight="1" x14ac:dyDescent="0.25">
      <c r="A59" s="32">
        <f t="shared" si="1"/>
        <v>0</v>
      </c>
      <c r="B59" s="109">
        <f t="shared" si="1"/>
        <v>0</v>
      </c>
      <c r="C59" s="109"/>
      <c r="D59" s="109"/>
      <c r="E59" s="109"/>
      <c r="F59" s="109"/>
      <c r="G59" s="109"/>
      <c r="H59" s="110">
        <f t="shared" si="3"/>
        <v>0</v>
      </c>
      <c r="I59" s="110"/>
      <c r="J59" s="110"/>
      <c r="K59" s="111">
        <f t="shared" si="4"/>
        <v>0</v>
      </c>
      <c r="L59" s="111"/>
      <c r="M59" s="112">
        <f t="shared" si="0"/>
        <v>0</v>
      </c>
      <c r="N59" s="112"/>
      <c r="O59" s="112"/>
      <c r="P59" s="35">
        <f t="shared" si="2"/>
        <v>0</v>
      </c>
      <c r="R59" s="88"/>
      <c r="S59" s="88"/>
      <c r="T59" s="67"/>
      <c r="V59" s="147"/>
    </row>
    <row r="60" spans="1:22" ht="25.15" customHeight="1" x14ac:dyDescent="0.25">
      <c r="A60" s="32">
        <f t="shared" si="1"/>
        <v>0</v>
      </c>
      <c r="B60" s="109">
        <f t="shared" si="1"/>
        <v>0</v>
      </c>
      <c r="C60" s="109"/>
      <c r="D60" s="109"/>
      <c r="E60" s="109"/>
      <c r="F60" s="109"/>
      <c r="G60" s="109"/>
      <c r="H60" s="110">
        <f t="shared" si="3"/>
        <v>0</v>
      </c>
      <c r="I60" s="110"/>
      <c r="J60" s="110"/>
      <c r="K60" s="111">
        <f t="shared" si="4"/>
        <v>0</v>
      </c>
      <c r="L60" s="111"/>
      <c r="M60" s="112">
        <f t="shared" si="0"/>
        <v>0</v>
      </c>
      <c r="N60" s="112"/>
      <c r="O60" s="112"/>
      <c r="P60" s="35">
        <f t="shared" si="2"/>
        <v>0</v>
      </c>
      <c r="R60" s="88"/>
      <c r="S60" s="88"/>
      <c r="T60" s="67"/>
      <c r="V60" s="148"/>
    </row>
    <row r="61" spans="1:22" ht="25.15" customHeight="1" x14ac:dyDescent="0.25">
      <c r="A61" s="32">
        <f t="shared" si="1"/>
        <v>0</v>
      </c>
      <c r="B61" s="109">
        <f t="shared" si="1"/>
        <v>0</v>
      </c>
      <c r="C61" s="109"/>
      <c r="D61" s="109"/>
      <c r="E61" s="109"/>
      <c r="F61" s="109"/>
      <c r="G61" s="109"/>
      <c r="H61" s="110">
        <f t="shared" si="3"/>
        <v>0</v>
      </c>
      <c r="I61" s="110"/>
      <c r="J61" s="110"/>
      <c r="K61" s="111">
        <f t="shared" si="4"/>
        <v>0</v>
      </c>
      <c r="L61" s="111"/>
      <c r="M61" s="112">
        <f t="shared" si="0"/>
        <v>0</v>
      </c>
      <c r="N61" s="112"/>
      <c r="O61" s="112"/>
      <c r="P61" s="35">
        <f t="shared" si="2"/>
        <v>0</v>
      </c>
      <c r="R61" s="88"/>
      <c r="S61" s="88"/>
      <c r="T61" s="67"/>
      <c r="V61" s="148"/>
    </row>
    <row r="62" spans="1:22" ht="25.15" customHeight="1" x14ac:dyDescent="0.25">
      <c r="A62" s="32">
        <f t="shared" si="1"/>
        <v>0</v>
      </c>
      <c r="B62" s="109">
        <f t="shared" si="1"/>
        <v>0</v>
      </c>
      <c r="C62" s="109"/>
      <c r="D62" s="109"/>
      <c r="E62" s="109"/>
      <c r="F62" s="109"/>
      <c r="G62" s="109"/>
      <c r="H62" s="110">
        <f t="shared" si="3"/>
        <v>0</v>
      </c>
      <c r="I62" s="110"/>
      <c r="J62" s="110"/>
      <c r="K62" s="111">
        <f t="shared" si="4"/>
        <v>0</v>
      </c>
      <c r="L62" s="111"/>
      <c r="M62" s="112">
        <f t="shared" si="0"/>
        <v>0</v>
      </c>
      <c r="N62" s="112"/>
      <c r="O62" s="112"/>
      <c r="P62" s="35">
        <f t="shared" si="2"/>
        <v>0</v>
      </c>
      <c r="R62" s="88"/>
      <c r="S62" s="88"/>
      <c r="T62" s="67"/>
    </row>
    <row r="63" spans="1:22" ht="25.15" customHeight="1" x14ac:dyDescent="0.25">
      <c r="A63" s="32">
        <f t="shared" si="1"/>
        <v>0</v>
      </c>
      <c r="B63" s="109">
        <f t="shared" si="1"/>
        <v>0</v>
      </c>
      <c r="C63" s="109"/>
      <c r="D63" s="109"/>
      <c r="E63" s="109"/>
      <c r="F63" s="109"/>
      <c r="G63" s="109"/>
      <c r="H63" s="110">
        <f t="shared" si="3"/>
        <v>0</v>
      </c>
      <c r="I63" s="110"/>
      <c r="J63" s="110"/>
      <c r="K63" s="111">
        <f t="shared" si="4"/>
        <v>0</v>
      </c>
      <c r="L63" s="111"/>
      <c r="M63" s="112">
        <f t="shared" si="0"/>
        <v>0</v>
      </c>
      <c r="N63" s="112"/>
      <c r="O63" s="112"/>
      <c r="P63" s="35">
        <f t="shared" si="2"/>
        <v>0</v>
      </c>
      <c r="R63" s="88"/>
      <c r="S63" s="88"/>
      <c r="T63" s="67"/>
    </row>
    <row r="64" spans="1:22" ht="25.15" customHeight="1" x14ac:dyDescent="0.25">
      <c r="A64" s="32">
        <f t="shared" si="1"/>
        <v>0</v>
      </c>
      <c r="B64" s="109">
        <f t="shared" si="1"/>
        <v>0</v>
      </c>
      <c r="C64" s="109"/>
      <c r="D64" s="109"/>
      <c r="E64" s="109"/>
      <c r="F64" s="109"/>
      <c r="G64" s="109"/>
      <c r="H64" s="110">
        <f t="shared" si="3"/>
        <v>0</v>
      </c>
      <c r="I64" s="110"/>
      <c r="J64" s="110"/>
      <c r="K64" s="111">
        <f t="shared" si="4"/>
        <v>0</v>
      </c>
      <c r="L64" s="111"/>
      <c r="M64" s="112">
        <f t="shared" si="0"/>
        <v>0</v>
      </c>
      <c r="N64" s="112"/>
      <c r="O64" s="112"/>
      <c r="P64" s="35">
        <f t="shared" si="2"/>
        <v>0</v>
      </c>
      <c r="R64" s="88"/>
      <c r="S64" s="88"/>
      <c r="T64" s="67"/>
    </row>
    <row r="65" spans="1:20" ht="25.15" customHeight="1" x14ac:dyDescent="0.25">
      <c r="A65" s="32">
        <f t="shared" si="1"/>
        <v>0</v>
      </c>
      <c r="B65" s="109">
        <f t="shared" si="1"/>
        <v>0</v>
      </c>
      <c r="C65" s="109"/>
      <c r="D65" s="109"/>
      <c r="E65" s="109"/>
      <c r="F65" s="109"/>
      <c r="G65" s="109"/>
      <c r="H65" s="110">
        <f t="shared" si="3"/>
        <v>0</v>
      </c>
      <c r="I65" s="110"/>
      <c r="J65" s="110"/>
      <c r="K65" s="111">
        <f t="shared" si="4"/>
        <v>0</v>
      </c>
      <c r="L65" s="111"/>
      <c r="M65" s="112">
        <f t="shared" si="0"/>
        <v>0</v>
      </c>
      <c r="N65" s="112"/>
      <c r="O65" s="112"/>
      <c r="P65" s="35">
        <f t="shared" si="2"/>
        <v>0</v>
      </c>
      <c r="R65" s="88"/>
      <c r="S65" s="88"/>
      <c r="T65" s="67"/>
    </row>
    <row r="66" spans="1:20" ht="25.15" customHeight="1" x14ac:dyDescent="0.25">
      <c r="A66" s="32">
        <f t="shared" si="1"/>
        <v>0</v>
      </c>
      <c r="B66" s="109">
        <f t="shared" si="1"/>
        <v>0</v>
      </c>
      <c r="C66" s="109"/>
      <c r="D66" s="109"/>
      <c r="E66" s="109"/>
      <c r="F66" s="109"/>
      <c r="G66" s="109"/>
      <c r="H66" s="110">
        <f t="shared" si="3"/>
        <v>0</v>
      </c>
      <c r="I66" s="110"/>
      <c r="J66" s="110"/>
      <c r="K66" s="111">
        <f t="shared" si="4"/>
        <v>0</v>
      </c>
      <c r="L66" s="111"/>
      <c r="M66" s="112">
        <f t="shared" si="0"/>
        <v>0</v>
      </c>
      <c r="N66" s="112"/>
      <c r="O66" s="112"/>
      <c r="P66" s="35">
        <f t="shared" si="2"/>
        <v>0</v>
      </c>
      <c r="R66" s="88"/>
      <c r="S66" s="88"/>
      <c r="T66" s="67"/>
    </row>
    <row r="67" spans="1:20" ht="25.15" customHeight="1" x14ac:dyDescent="0.25">
      <c r="A67" s="32">
        <f t="shared" si="1"/>
        <v>0</v>
      </c>
      <c r="B67" s="109">
        <f t="shared" si="1"/>
        <v>0</v>
      </c>
      <c r="C67" s="109"/>
      <c r="D67" s="109"/>
      <c r="E67" s="109"/>
      <c r="F67" s="109"/>
      <c r="G67" s="109"/>
      <c r="H67" s="110">
        <f t="shared" si="3"/>
        <v>0</v>
      </c>
      <c r="I67" s="110"/>
      <c r="J67" s="110"/>
      <c r="K67" s="111">
        <f t="shared" si="4"/>
        <v>0</v>
      </c>
      <c r="L67" s="111"/>
      <c r="M67" s="112">
        <f t="shared" si="0"/>
        <v>0</v>
      </c>
      <c r="N67" s="112"/>
      <c r="O67" s="112"/>
      <c r="P67" s="35">
        <f t="shared" si="2"/>
        <v>0</v>
      </c>
      <c r="R67" s="88"/>
      <c r="S67" s="88"/>
      <c r="T67" s="67"/>
    </row>
    <row r="68" spans="1:20" ht="25.15" customHeight="1" x14ac:dyDescent="0.25">
      <c r="A68" s="32">
        <f t="shared" si="1"/>
        <v>0</v>
      </c>
      <c r="B68" s="109">
        <f t="shared" si="1"/>
        <v>0</v>
      </c>
      <c r="C68" s="109"/>
      <c r="D68" s="109"/>
      <c r="E68" s="109"/>
      <c r="F68" s="109"/>
      <c r="G68" s="109"/>
      <c r="H68" s="110">
        <f t="shared" si="3"/>
        <v>0</v>
      </c>
      <c r="I68" s="110"/>
      <c r="J68" s="110"/>
      <c r="K68" s="111">
        <f t="shared" si="4"/>
        <v>0</v>
      </c>
      <c r="L68" s="111"/>
      <c r="M68" s="112">
        <f t="shared" si="0"/>
        <v>0</v>
      </c>
      <c r="N68" s="112"/>
      <c r="O68" s="112"/>
      <c r="P68" s="35">
        <f t="shared" si="2"/>
        <v>0</v>
      </c>
      <c r="R68" s="88"/>
      <c r="S68" s="88"/>
      <c r="T68" s="67"/>
    </row>
    <row r="69" spans="1:20" ht="25.15" customHeight="1" x14ac:dyDescent="0.25">
      <c r="A69" s="32">
        <f t="shared" si="1"/>
        <v>0</v>
      </c>
      <c r="B69" s="109">
        <f t="shared" si="1"/>
        <v>0</v>
      </c>
      <c r="C69" s="109"/>
      <c r="D69" s="109"/>
      <c r="E69" s="109"/>
      <c r="F69" s="109"/>
      <c r="G69" s="109"/>
      <c r="H69" s="110">
        <f t="shared" si="3"/>
        <v>0</v>
      </c>
      <c r="I69" s="110"/>
      <c r="J69" s="110"/>
      <c r="K69" s="111">
        <f t="shared" si="4"/>
        <v>0</v>
      </c>
      <c r="L69" s="111"/>
      <c r="M69" s="112">
        <f t="shared" si="0"/>
        <v>0</v>
      </c>
      <c r="N69" s="112"/>
      <c r="O69" s="112"/>
      <c r="P69" s="35">
        <f t="shared" si="2"/>
        <v>0</v>
      </c>
      <c r="R69" s="88"/>
      <c r="S69" s="88"/>
      <c r="T69" s="67"/>
    </row>
    <row r="70" spans="1:20" ht="25.15" customHeight="1" x14ac:dyDescent="0.25">
      <c r="A70" s="32">
        <f t="shared" si="1"/>
        <v>0</v>
      </c>
      <c r="B70" s="109">
        <f t="shared" si="1"/>
        <v>0</v>
      </c>
      <c r="C70" s="109"/>
      <c r="D70" s="109"/>
      <c r="E70" s="109"/>
      <c r="F70" s="109"/>
      <c r="G70" s="109"/>
      <c r="H70" s="110">
        <f t="shared" si="3"/>
        <v>0</v>
      </c>
      <c r="I70" s="110"/>
      <c r="J70" s="110"/>
      <c r="K70" s="111">
        <f t="shared" si="4"/>
        <v>0</v>
      </c>
      <c r="L70" s="111"/>
      <c r="M70" s="112">
        <f t="shared" si="0"/>
        <v>0</v>
      </c>
      <c r="N70" s="112"/>
      <c r="O70" s="112"/>
      <c r="P70" s="35">
        <f t="shared" si="2"/>
        <v>0</v>
      </c>
      <c r="R70" s="88"/>
      <c r="S70" s="88"/>
      <c r="T70" s="67"/>
    </row>
    <row r="71" spans="1:20" ht="25.15" customHeight="1" x14ac:dyDescent="0.25">
      <c r="A71" s="32">
        <f t="shared" si="1"/>
        <v>0</v>
      </c>
      <c r="B71" s="109">
        <f t="shared" si="1"/>
        <v>0</v>
      </c>
      <c r="C71" s="109"/>
      <c r="D71" s="109"/>
      <c r="E71" s="109"/>
      <c r="F71" s="109"/>
      <c r="G71" s="109"/>
      <c r="H71" s="110">
        <f t="shared" si="3"/>
        <v>0</v>
      </c>
      <c r="I71" s="110"/>
      <c r="J71" s="110"/>
      <c r="K71" s="111">
        <f t="shared" si="4"/>
        <v>0</v>
      </c>
      <c r="L71" s="111"/>
      <c r="M71" s="112">
        <f t="shared" si="0"/>
        <v>0</v>
      </c>
      <c r="N71" s="112"/>
      <c r="O71" s="112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09">
        <f t="shared" si="1"/>
        <v>0</v>
      </c>
      <c r="C72" s="109"/>
      <c r="D72" s="109"/>
      <c r="E72" s="109"/>
      <c r="F72" s="109"/>
      <c r="G72" s="109"/>
      <c r="H72" s="110">
        <f t="shared" si="3"/>
        <v>0</v>
      </c>
      <c r="I72" s="110"/>
      <c r="J72" s="110"/>
      <c r="K72" s="111">
        <f t="shared" si="4"/>
        <v>0</v>
      </c>
      <c r="L72" s="111"/>
      <c r="M72" s="112">
        <f t="shared" si="0"/>
        <v>0</v>
      </c>
      <c r="N72" s="112"/>
      <c r="O72" s="112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09">
        <f t="shared" si="5"/>
        <v>0</v>
      </c>
      <c r="C73" s="109"/>
      <c r="D73" s="109"/>
      <c r="E73" s="109"/>
      <c r="F73" s="109"/>
      <c r="G73" s="109"/>
      <c r="H73" s="110">
        <f t="shared" si="3"/>
        <v>0</v>
      </c>
      <c r="I73" s="110"/>
      <c r="J73" s="110"/>
      <c r="K73" s="111">
        <f t="shared" si="4"/>
        <v>0</v>
      </c>
      <c r="L73" s="111"/>
      <c r="M73" s="112">
        <f t="shared" si="0"/>
        <v>0</v>
      </c>
      <c r="N73" s="112"/>
      <c r="O73" s="112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09">
        <f t="shared" si="5"/>
        <v>0</v>
      </c>
      <c r="C74" s="109"/>
      <c r="D74" s="109"/>
      <c r="E74" s="109"/>
      <c r="F74" s="109"/>
      <c r="G74" s="109"/>
      <c r="H74" s="110">
        <f t="shared" si="3"/>
        <v>0</v>
      </c>
      <c r="I74" s="110"/>
      <c r="J74" s="110"/>
      <c r="K74" s="111">
        <f t="shared" si="4"/>
        <v>0</v>
      </c>
      <c r="L74" s="111"/>
      <c r="M74" s="112">
        <f t="shared" si="0"/>
        <v>0</v>
      </c>
      <c r="N74" s="112"/>
      <c r="O74" s="112"/>
      <c r="P74" s="35">
        <f t="shared" si="2"/>
        <v>0</v>
      </c>
    </row>
    <row r="75" spans="1:20" ht="21.95" customHeight="1" thickBot="1" x14ac:dyDescent="0.3">
      <c r="A75" s="126" t="s">
        <v>17</v>
      </c>
      <c r="B75" s="127"/>
      <c r="C75" s="127"/>
      <c r="D75" s="127"/>
      <c r="E75" s="127"/>
      <c r="F75" s="127"/>
      <c r="G75" s="116"/>
      <c r="H75" s="128">
        <f>SUM(H55:J74)</f>
        <v>5</v>
      </c>
      <c r="I75" s="129"/>
      <c r="J75" s="130"/>
      <c r="K75" s="131">
        <f>SUM(K55:L74)</f>
        <v>289</v>
      </c>
      <c r="L75" s="132"/>
      <c r="M75" s="133"/>
      <c r="N75" s="134"/>
      <c r="O75" s="135"/>
      <c r="P75" s="19"/>
    </row>
    <row r="77" spans="1:20" ht="31.9" customHeight="1" x14ac:dyDescent="0.25">
      <c r="A77" s="137" t="s">
        <v>22</v>
      </c>
      <c r="B77" s="138"/>
      <c r="C77" s="138"/>
      <c r="D77" s="139" t="str">
        <f>D37</f>
        <v>MD.JAMSHED</v>
      </c>
      <c r="E77" s="139"/>
      <c r="F77" s="139"/>
      <c r="G77" s="138" t="s">
        <v>23</v>
      </c>
      <c r="H77" s="138"/>
      <c r="I77" s="138"/>
      <c r="J77" s="138"/>
      <c r="K77" s="138"/>
      <c r="L77" s="138"/>
      <c r="M77" s="140" t="str">
        <f>M37</f>
        <v>01831-013822</v>
      </c>
      <c r="N77" s="140"/>
      <c r="O77" s="140"/>
      <c r="P77" s="141"/>
    </row>
    <row r="78" spans="1:20" ht="31.9" customHeight="1" x14ac:dyDescent="0.25">
      <c r="A78" s="142" t="s">
        <v>24</v>
      </c>
      <c r="B78" s="143"/>
      <c r="C78" s="143"/>
      <c r="D78" s="144" t="str">
        <f>D38</f>
        <v>LT0001</v>
      </c>
      <c r="E78" s="144"/>
      <c r="F78" s="144"/>
      <c r="G78" s="143" t="s">
        <v>25</v>
      </c>
      <c r="H78" s="143"/>
      <c r="I78" s="143"/>
      <c r="J78" s="143"/>
      <c r="K78" s="143"/>
      <c r="L78" s="143"/>
      <c r="M78" s="145" t="str">
        <f>M38</f>
        <v>D.M.TA 13-5578</v>
      </c>
      <c r="N78" s="145"/>
      <c r="O78" s="145"/>
      <c r="P78" s="146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36" t="s">
        <v>18</v>
      </c>
      <c r="B80" s="136"/>
      <c r="C80" s="136"/>
      <c r="D80" s="4"/>
      <c r="E80" s="4"/>
      <c r="F80" s="136" t="s">
        <v>19</v>
      </c>
      <c r="G80" s="136"/>
      <c r="H80" s="36"/>
      <c r="I80" s="36"/>
      <c r="J80" s="36"/>
      <c r="K80" s="4"/>
      <c r="L80" s="136" t="s">
        <v>20</v>
      </c>
      <c r="M80" s="136"/>
      <c r="N80" s="136"/>
      <c r="O80" s="136"/>
      <c r="P80" s="136"/>
    </row>
    <row r="81" spans="1:22" ht="8.25" customHeight="1" x14ac:dyDescent="0.25"/>
    <row r="82" spans="1:22" ht="36.75" customHeight="1" x14ac:dyDescent="0.25">
      <c r="A82" s="37"/>
      <c r="B82" s="37"/>
      <c r="C82" s="37"/>
      <c r="D82" s="38" t="s">
        <v>27</v>
      </c>
      <c r="E82" s="38"/>
      <c r="F82" s="38"/>
      <c r="G82" s="38"/>
      <c r="H82" s="38"/>
      <c r="I82" s="38"/>
      <c r="J82" s="38"/>
      <c r="K82" s="38"/>
      <c r="L82" s="38"/>
      <c r="M82" s="39" t="str">
        <f>M42</f>
        <v>FORM STR 03
REVISION NO 01</v>
      </c>
      <c r="N82" s="39"/>
      <c r="O82" s="39"/>
      <c r="P82" s="39"/>
      <c r="Q82" s="10"/>
    </row>
    <row r="83" spans="1:22" ht="22.15" customHeight="1" x14ac:dyDescent="0.25">
      <c r="A83" s="37"/>
      <c r="B83" s="37"/>
      <c r="C83" s="37"/>
      <c r="D83" s="38"/>
      <c r="E83" s="38"/>
      <c r="F83" s="38"/>
      <c r="G83" s="38"/>
      <c r="H83" s="38"/>
      <c r="I83" s="38"/>
      <c r="J83" s="38"/>
      <c r="K83" s="38"/>
      <c r="L83" s="38"/>
      <c r="M83" s="39"/>
      <c r="N83" s="39"/>
      <c r="O83" s="39"/>
      <c r="P83" s="39"/>
      <c r="Q83" s="10"/>
    </row>
    <row r="84" spans="1:22" ht="17.45" customHeight="1" x14ac:dyDescent="0.25">
      <c r="A84" s="40"/>
      <c r="B84" s="40"/>
      <c r="C84" s="40"/>
      <c r="D84" s="41" t="s">
        <v>21</v>
      </c>
      <c r="E84" s="41"/>
      <c r="F84" s="41"/>
      <c r="G84" s="41"/>
      <c r="H84" s="41"/>
      <c r="I84" s="41"/>
      <c r="J84" s="41"/>
      <c r="K84" s="41"/>
      <c r="L84" s="41"/>
      <c r="M84" s="11"/>
    </row>
    <row r="85" spans="1:22" ht="22.15" customHeight="1" thickBot="1" x14ac:dyDescent="0.35">
      <c r="A85" s="42"/>
      <c r="B85" s="42"/>
      <c r="C85" s="1"/>
      <c r="D85" s="43" t="s">
        <v>91</v>
      </c>
      <c r="E85" s="43"/>
      <c r="F85" s="43"/>
      <c r="G85" s="43"/>
      <c r="H85" s="43"/>
      <c r="I85" s="43"/>
      <c r="J85" s="43"/>
      <c r="K85" s="43"/>
      <c r="L85" s="43"/>
      <c r="M85" s="2"/>
      <c r="N85" s="37"/>
      <c r="O85" s="37"/>
      <c r="P85" s="37"/>
    </row>
    <row r="86" spans="1:22" ht="15.6" customHeight="1" thickBot="1" x14ac:dyDescent="0.35">
      <c r="A86" s="71" t="s">
        <v>9</v>
      </c>
      <c r="B86" s="72"/>
      <c r="C86" s="73" t="str">
        <f>C46</f>
        <v>O542</v>
      </c>
      <c r="D86" s="73"/>
      <c r="E86" s="73"/>
      <c r="F86" s="74"/>
      <c r="G86" s="2"/>
      <c r="H86" s="75" t="s">
        <v>4</v>
      </c>
      <c r="I86" s="76"/>
      <c r="J86" s="76"/>
      <c r="K86" s="8" t="s">
        <v>7</v>
      </c>
      <c r="L86" s="77" t="str">
        <f>L46</f>
        <v>JP 523798</v>
      </c>
      <c r="M86" s="77"/>
      <c r="N86" s="77"/>
      <c r="O86" s="77"/>
      <c r="P86" s="78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52" t="s">
        <v>5</v>
      </c>
      <c r="I87" s="53"/>
      <c r="J87" s="53"/>
      <c r="K87" s="9" t="s">
        <v>7</v>
      </c>
      <c r="L87" s="79">
        <f ca="1">L47</f>
        <v>45689.589567129631</v>
      </c>
      <c r="M87" s="79"/>
      <c r="N87" s="79"/>
      <c r="O87" s="79"/>
      <c r="P87" s="80"/>
      <c r="R87" s="88"/>
      <c r="S87" s="88"/>
      <c r="T87" s="147"/>
      <c r="U87" s="26"/>
      <c r="V87" s="147"/>
    </row>
    <row r="88" spans="1:22" ht="18" customHeight="1" x14ac:dyDescent="0.3">
      <c r="A88" s="46" t="str">
        <f>A48</f>
        <v>Summit Alliance Port Limited (OCL).
Katghar, North Patenga, Chitagong.</v>
      </c>
      <c r="B88" s="47"/>
      <c r="C88" s="47"/>
      <c r="D88" s="47"/>
      <c r="E88" s="47"/>
      <c r="F88" s="48"/>
      <c r="G88" s="2"/>
      <c r="H88" s="52" t="s">
        <v>8</v>
      </c>
      <c r="I88" s="53"/>
      <c r="J88" s="53"/>
      <c r="K88" s="9" t="s">
        <v>7</v>
      </c>
      <c r="L88" s="54" t="str">
        <f>L48</f>
        <v>SEA</v>
      </c>
      <c r="M88" s="54"/>
      <c r="N88" s="54"/>
      <c r="O88" s="54"/>
      <c r="P88" s="55"/>
      <c r="R88" s="88"/>
      <c r="S88" s="88"/>
      <c r="T88" s="148"/>
      <c r="U88" s="26"/>
      <c r="V88" s="148"/>
    </row>
    <row r="89" spans="1:22" ht="17.45" customHeight="1" x14ac:dyDescent="0.3">
      <c r="A89" s="46"/>
      <c r="B89" s="47"/>
      <c r="C89" s="47"/>
      <c r="D89" s="47"/>
      <c r="E89" s="47"/>
      <c r="F89" s="48"/>
      <c r="G89" s="2"/>
      <c r="H89" s="56" t="s">
        <v>6</v>
      </c>
      <c r="I89" s="57"/>
      <c r="J89" s="57"/>
      <c r="K89" s="62" t="s">
        <v>7</v>
      </c>
      <c r="L89" s="65" t="str">
        <f>L49</f>
        <v>M/S. Kabir &amp; Co.
1104DT Road West Madarbari,
Chattogram, Bangladesh.</v>
      </c>
      <c r="M89" s="65"/>
      <c r="N89" s="65"/>
      <c r="O89" s="65"/>
      <c r="P89" s="66"/>
      <c r="R89" s="88"/>
      <c r="S89" s="88"/>
      <c r="T89" s="148"/>
      <c r="U89" s="26"/>
      <c r="V89" s="148"/>
    </row>
    <row r="90" spans="1:22" ht="18" thickBot="1" x14ac:dyDescent="0.35">
      <c r="A90" s="49"/>
      <c r="B90" s="50"/>
      <c r="C90" s="50"/>
      <c r="D90" s="50"/>
      <c r="E90" s="50"/>
      <c r="F90" s="51"/>
      <c r="G90" s="2"/>
      <c r="H90" s="58"/>
      <c r="I90" s="59"/>
      <c r="J90" s="59"/>
      <c r="K90" s="63"/>
      <c r="L90" s="67"/>
      <c r="M90" s="67"/>
      <c r="N90" s="67"/>
      <c r="O90" s="67"/>
      <c r="P90" s="68"/>
      <c r="R90" s="88"/>
      <c r="S90" s="88"/>
      <c r="T90" s="147"/>
      <c r="U90" s="26"/>
      <c r="V90" s="147"/>
    </row>
    <row r="91" spans="1:22" ht="18" customHeight="1" thickBot="1" x14ac:dyDescent="0.35">
      <c r="A91" s="42"/>
      <c r="B91" s="42"/>
      <c r="C91" s="1"/>
      <c r="D91" s="2"/>
      <c r="E91" s="2"/>
      <c r="F91" s="2"/>
      <c r="G91" s="2"/>
      <c r="H91" s="60"/>
      <c r="I91" s="61"/>
      <c r="J91" s="61"/>
      <c r="K91" s="64"/>
      <c r="L91" s="69"/>
      <c r="M91" s="69"/>
      <c r="N91" s="69"/>
      <c r="O91" s="69"/>
      <c r="P91" s="70"/>
      <c r="R91" s="88"/>
      <c r="S91" s="88"/>
      <c r="T91" s="147"/>
      <c r="U91" s="26"/>
      <c r="V91" s="148"/>
    </row>
    <row r="92" spans="1:22" ht="16.149999999999999" customHeight="1" x14ac:dyDescent="0.25">
      <c r="A92" s="103" t="s">
        <v>12</v>
      </c>
      <c r="B92" s="104"/>
      <c r="C92" s="105" t="s">
        <v>0</v>
      </c>
      <c r="D92" s="105"/>
      <c r="E92" s="105"/>
      <c r="F92" s="105"/>
      <c r="G92" s="105"/>
      <c r="H92" s="81" t="s">
        <v>1</v>
      </c>
      <c r="I92" s="82"/>
      <c r="J92" s="82"/>
      <c r="K92" s="82"/>
      <c r="L92" s="83"/>
      <c r="M92" s="84" t="s">
        <v>16</v>
      </c>
      <c r="N92" s="85"/>
      <c r="O92" s="86"/>
      <c r="P92" s="93" t="s">
        <v>3</v>
      </c>
      <c r="R92" s="88"/>
      <c r="S92" s="88"/>
      <c r="T92" s="147"/>
      <c r="U92" s="26"/>
      <c r="V92" s="148"/>
    </row>
    <row r="93" spans="1:22" ht="16.149999999999999" customHeight="1" x14ac:dyDescent="0.25">
      <c r="A93" s="3" t="s">
        <v>13</v>
      </c>
      <c r="B93" s="33">
        <f>B53</f>
        <v>0</v>
      </c>
      <c r="C93" s="96" t="str">
        <f>C53</f>
        <v>Delivery of Readymade Garments</v>
      </c>
      <c r="D93" s="96"/>
      <c r="E93" s="96"/>
      <c r="F93" s="96"/>
      <c r="G93" s="96"/>
      <c r="H93" s="97" t="s">
        <v>2</v>
      </c>
      <c r="I93" s="98"/>
      <c r="J93" s="99"/>
      <c r="K93" s="97" t="s">
        <v>15</v>
      </c>
      <c r="L93" s="99"/>
      <c r="M93" s="87"/>
      <c r="N93" s="88"/>
      <c r="O93" s="89"/>
      <c r="P93" s="94"/>
      <c r="R93" s="88"/>
      <c r="S93" s="88"/>
      <c r="T93" s="147"/>
      <c r="V93" s="147"/>
    </row>
    <row r="94" spans="1:22" ht="16.149999999999999" customHeight="1" thickBot="1" x14ac:dyDescent="0.3">
      <c r="A94" s="113" t="s">
        <v>11</v>
      </c>
      <c r="B94" s="114"/>
      <c r="C94" s="115" t="str">
        <f>C54</f>
        <v>H &amp; M</v>
      </c>
      <c r="D94" s="116"/>
      <c r="E94" s="117" t="s">
        <v>88</v>
      </c>
      <c r="F94" s="118"/>
      <c r="G94" s="114"/>
      <c r="H94" s="100"/>
      <c r="I94" s="101"/>
      <c r="J94" s="102"/>
      <c r="K94" s="100"/>
      <c r="L94" s="102"/>
      <c r="M94" s="90"/>
      <c r="N94" s="91"/>
      <c r="O94" s="92"/>
      <c r="P94" s="95"/>
      <c r="R94" s="88"/>
      <c r="S94" s="88"/>
      <c r="T94" s="147"/>
      <c r="V94" s="148"/>
    </row>
    <row r="95" spans="1:22" ht="25.15" customHeight="1" x14ac:dyDescent="0.25">
      <c r="A95" s="31">
        <f>A55</f>
        <v>0</v>
      </c>
      <c r="B95" s="119" t="str">
        <f>B55</f>
        <v>277743-7952</v>
      </c>
      <c r="C95" s="119"/>
      <c r="D95" s="119"/>
      <c r="E95" s="119"/>
      <c r="F95" s="119"/>
      <c r="G95" s="119"/>
      <c r="H95" s="120">
        <f>H55</f>
        <v>5</v>
      </c>
      <c r="I95" s="121"/>
      <c r="J95" s="122"/>
      <c r="K95" s="123">
        <f>K55</f>
        <v>289</v>
      </c>
      <c r="L95" s="124"/>
      <c r="M95" s="106" t="str">
        <f>M55</f>
        <v>TW</v>
      </c>
      <c r="N95" s="107"/>
      <c r="O95" s="108"/>
      <c r="P95" s="34">
        <f>P55</f>
        <v>0</v>
      </c>
      <c r="R95" s="88"/>
      <c r="S95" s="88"/>
      <c r="T95" s="147"/>
      <c r="V95" s="148"/>
    </row>
    <row r="96" spans="1:22" ht="25.15" customHeight="1" x14ac:dyDescent="0.25">
      <c r="A96" s="32">
        <f>A56</f>
        <v>0</v>
      </c>
      <c r="B96" s="109">
        <f>B56</f>
        <v>0</v>
      </c>
      <c r="C96" s="109"/>
      <c r="D96" s="109"/>
      <c r="E96" s="109"/>
      <c r="F96" s="109"/>
      <c r="G96" s="109"/>
      <c r="H96" s="110">
        <f>H56</f>
        <v>0</v>
      </c>
      <c r="I96" s="110"/>
      <c r="J96" s="110"/>
      <c r="K96" s="111">
        <f>K56</f>
        <v>0</v>
      </c>
      <c r="L96" s="111"/>
      <c r="M96" s="112">
        <f>M56</f>
        <v>0</v>
      </c>
      <c r="N96" s="112"/>
      <c r="O96" s="112"/>
      <c r="P96" s="35">
        <f>P56</f>
        <v>0</v>
      </c>
      <c r="R96" s="88"/>
      <c r="S96" s="88"/>
      <c r="T96" s="67"/>
      <c r="V96" s="147"/>
    </row>
    <row r="97" spans="1:22" ht="25.15" customHeight="1" x14ac:dyDescent="0.25">
      <c r="A97" s="32">
        <f t="shared" ref="A97:B112" si="6">A57</f>
        <v>0</v>
      </c>
      <c r="B97" s="109">
        <f t="shared" si="6"/>
        <v>0</v>
      </c>
      <c r="C97" s="109"/>
      <c r="D97" s="109"/>
      <c r="E97" s="109"/>
      <c r="F97" s="109"/>
      <c r="G97" s="109"/>
      <c r="H97" s="110">
        <f>H57</f>
        <v>0</v>
      </c>
      <c r="I97" s="110"/>
      <c r="J97" s="110"/>
      <c r="K97" s="111">
        <f>K57</f>
        <v>0</v>
      </c>
      <c r="L97" s="111"/>
      <c r="M97" s="112">
        <f t="shared" ref="M97:M114" si="7">M57</f>
        <v>0</v>
      </c>
      <c r="N97" s="112"/>
      <c r="O97" s="112"/>
      <c r="P97" s="35">
        <f t="shared" ref="P97:P114" si="8">P57</f>
        <v>0</v>
      </c>
      <c r="R97" s="88"/>
      <c r="S97" s="88"/>
      <c r="T97" s="67"/>
      <c r="V97" s="148"/>
    </row>
    <row r="98" spans="1:22" ht="25.15" customHeight="1" x14ac:dyDescent="0.25">
      <c r="A98" s="32">
        <f t="shared" si="6"/>
        <v>0</v>
      </c>
      <c r="B98" s="109">
        <f t="shared" si="6"/>
        <v>0</v>
      </c>
      <c r="C98" s="109"/>
      <c r="D98" s="109"/>
      <c r="E98" s="109"/>
      <c r="F98" s="109"/>
      <c r="G98" s="109"/>
      <c r="H98" s="110">
        <f t="shared" ref="H98:H114" si="9">H58</f>
        <v>0</v>
      </c>
      <c r="I98" s="110"/>
      <c r="J98" s="110"/>
      <c r="K98" s="111">
        <f t="shared" ref="K98:K114" si="10">K58</f>
        <v>0</v>
      </c>
      <c r="L98" s="111"/>
      <c r="M98" s="112">
        <f t="shared" si="7"/>
        <v>0</v>
      </c>
      <c r="N98" s="112"/>
      <c r="O98" s="112"/>
      <c r="P98" s="35">
        <f t="shared" si="8"/>
        <v>0</v>
      </c>
      <c r="R98" s="88"/>
      <c r="S98" s="88"/>
      <c r="T98" s="67"/>
      <c r="V98" s="148"/>
    </row>
    <row r="99" spans="1:22" ht="25.15" customHeight="1" x14ac:dyDescent="0.25">
      <c r="A99" s="32">
        <f t="shared" si="6"/>
        <v>0</v>
      </c>
      <c r="B99" s="109">
        <f t="shared" si="6"/>
        <v>0</v>
      </c>
      <c r="C99" s="109"/>
      <c r="D99" s="109"/>
      <c r="E99" s="109"/>
      <c r="F99" s="109"/>
      <c r="G99" s="109"/>
      <c r="H99" s="110">
        <f t="shared" si="9"/>
        <v>0</v>
      </c>
      <c r="I99" s="110"/>
      <c r="J99" s="110"/>
      <c r="K99" s="111">
        <f t="shared" si="10"/>
        <v>0</v>
      </c>
      <c r="L99" s="111"/>
      <c r="M99" s="112">
        <f t="shared" si="7"/>
        <v>0</v>
      </c>
      <c r="N99" s="112"/>
      <c r="O99" s="112"/>
      <c r="P99" s="35">
        <f t="shared" si="8"/>
        <v>0</v>
      </c>
      <c r="R99" s="88"/>
      <c r="S99" s="88"/>
      <c r="T99" s="67"/>
      <c r="V99" s="147"/>
    </row>
    <row r="100" spans="1:22" ht="25.15" customHeight="1" x14ac:dyDescent="0.25">
      <c r="A100" s="32">
        <f t="shared" si="6"/>
        <v>0</v>
      </c>
      <c r="B100" s="109">
        <f t="shared" si="6"/>
        <v>0</v>
      </c>
      <c r="C100" s="109"/>
      <c r="D100" s="109"/>
      <c r="E100" s="109"/>
      <c r="F100" s="109"/>
      <c r="G100" s="109"/>
      <c r="H100" s="110">
        <f t="shared" si="9"/>
        <v>0</v>
      </c>
      <c r="I100" s="110"/>
      <c r="J100" s="110"/>
      <c r="K100" s="111">
        <f t="shared" si="10"/>
        <v>0</v>
      </c>
      <c r="L100" s="111"/>
      <c r="M100" s="112">
        <f t="shared" si="7"/>
        <v>0</v>
      </c>
      <c r="N100" s="112"/>
      <c r="O100" s="112"/>
      <c r="P100" s="35">
        <f t="shared" si="8"/>
        <v>0</v>
      </c>
      <c r="R100" s="88"/>
      <c r="S100" s="88"/>
      <c r="T100" s="67"/>
      <c r="V100" s="148"/>
    </row>
    <row r="101" spans="1:22" ht="25.15" customHeight="1" x14ac:dyDescent="0.25">
      <c r="A101" s="32">
        <f t="shared" si="6"/>
        <v>0</v>
      </c>
      <c r="B101" s="109">
        <f t="shared" si="6"/>
        <v>0</v>
      </c>
      <c r="C101" s="109"/>
      <c r="D101" s="109"/>
      <c r="E101" s="109"/>
      <c r="F101" s="109"/>
      <c r="G101" s="109"/>
      <c r="H101" s="110">
        <f t="shared" si="9"/>
        <v>0</v>
      </c>
      <c r="I101" s="110"/>
      <c r="J101" s="110"/>
      <c r="K101" s="111">
        <f t="shared" si="10"/>
        <v>0</v>
      </c>
      <c r="L101" s="111"/>
      <c r="M101" s="112">
        <f t="shared" si="7"/>
        <v>0</v>
      </c>
      <c r="N101" s="112"/>
      <c r="O101" s="112"/>
      <c r="P101" s="35">
        <f t="shared" si="8"/>
        <v>0</v>
      </c>
      <c r="R101" s="88"/>
      <c r="S101" s="88"/>
      <c r="T101" s="67"/>
      <c r="V101" s="148"/>
    </row>
    <row r="102" spans="1:22" ht="25.15" customHeight="1" x14ac:dyDescent="0.25">
      <c r="A102" s="32">
        <f t="shared" si="6"/>
        <v>0</v>
      </c>
      <c r="B102" s="109">
        <f t="shared" si="6"/>
        <v>0</v>
      </c>
      <c r="C102" s="109"/>
      <c r="D102" s="109"/>
      <c r="E102" s="109"/>
      <c r="F102" s="109"/>
      <c r="G102" s="109"/>
      <c r="H102" s="110">
        <f t="shared" si="9"/>
        <v>0</v>
      </c>
      <c r="I102" s="110"/>
      <c r="J102" s="110"/>
      <c r="K102" s="111">
        <f t="shared" si="10"/>
        <v>0</v>
      </c>
      <c r="L102" s="111"/>
      <c r="M102" s="112">
        <f t="shared" si="7"/>
        <v>0</v>
      </c>
      <c r="N102" s="112"/>
      <c r="O102" s="112"/>
      <c r="P102" s="35">
        <f t="shared" si="8"/>
        <v>0</v>
      </c>
      <c r="R102" s="88"/>
      <c r="S102" s="88"/>
      <c r="T102" s="67"/>
    </row>
    <row r="103" spans="1:22" ht="25.15" customHeight="1" x14ac:dyDescent="0.25">
      <c r="A103" s="32">
        <f t="shared" si="6"/>
        <v>0</v>
      </c>
      <c r="B103" s="109">
        <f t="shared" si="6"/>
        <v>0</v>
      </c>
      <c r="C103" s="109"/>
      <c r="D103" s="109"/>
      <c r="E103" s="109"/>
      <c r="F103" s="109"/>
      <c r="G103" s="109"/>
      <c r="H103" s="110">
        <f t="shared" si="9"/>
        <v>0</v>
      </c>
      <c r="I103" s="110"/>
      <c r="J103" s="110"/>
      <c r="K103" s="111">
        <f t="shared" si="10"/>
        <v>0</v>
      </c>
      <c r="L103" s="111"/>
      <c r="M103" s="112">
        <f t="shared" si="7"/>
        <v>0</v>
      </c>
      <c r="N103" s="112"/>
      <c r="O103" s="112"/>
      <c r="P103" s="35">
        <f t="shared" si="8"/>
        <v>0</v>
      </c>
      <c r="R103" s="88"/>
      <c r="S103" s="88"/>
      <c r="T103" s="67"/>
    </row>
    <row r="104" spans="1:22" ht="25.15" customHeight="1" x14ac:dyDescent="0.25">
      <c r="A104" s="32">
        <f t="shared" si="6"/>
        <v>0</v>
      </c>
      <c r="B104" s="109">
        <f t="shared" si="6"/>
        <v>0</v>
      </c>
      <c r="C104" s="109"/>
      <c r="D104" s="109"/>
      <c r="E104" s="109"/>
      <c r="F104" s="109"/>
      <c r="G104" s="109"/>
      <c r="H104" s="110">
        <f t="shared" si="9"/>
        <v>0</v>
      </c>
      <c r="I104" s="110"/>
      <c r="J104" s="110"/>
      <c r="K104" s="111">
        <f t="shared" si="10"/>
        <v>0</v>
      </c>
      <c r="L104" s="111"/>
      <c r="M104" s="112">
        <f t="shared" si="7"/>
        <v>0</v>
      </c>
      <c r="N104" s="112"/>
      <c r="O104" s="112"/>
      <c r="P104" s="35">
        <f t="shared" si="8"/>
        <v>0</v>
      </c>
      <c r="R104" s="88"/>
      <c r="S104" s="88"/>
      <c r="T104" s="67"/>
    </row>
    <row r="105" spans="1:22" ht="25.15" customHeight="1" x14ac:dyDescent="0.25">
      <c r="A105" s="32">
        <f t="shared" si="6"/>
        <v>0</v>
      </c>
      <c r="B105" s="109">
        <f t="shared" si="6"/>
        <v>0</v>
      </c>
      <c r="C105" s="109"/>
      <c r="D105" s="109"/>
      <c r="E105" s="109"/>
      <c r="F105" s="109"/>
      <c r="G105" s="109"/>
      <c r="H105" s="110">
        <f t="shared" si="9"/>
        <v>0</v>
      </c>
      <c r="I105" s="110"/>
      <c r="J105" s="110"/>
      <c r="K105" s="111">
        <f t="shared" si="10"/>
        <v>0</v>
      </c>
      <c r="L105" s="111"/>
      <c r="M105" s="112">
        <f t="shared" si="7"/>
        <v>0</v>
      </c>
      <c r="N105" s="112"/>
      <c r="O105" s="112"/>
      <c r="P105" s="35">
        <f t="shared" si="8"/>
        <v>0</v>
      </c>
      <c r="R105" s="88"/>
      <c r="S105" s="88"/>
      <c r="T105" s="67"/>
    </row>
    <row r="106" spans="1:22" ht="25.15" customHeight="1" x14ac:dyDescent="0.25">
      <c r="A106" s="32">
        <f t="shared" si="6"/>
        <v>0</v>
      </c>
      <c r="B106" s="109">
        <f t="shared" si="6"/>
        <v>0</v>
      </c>
      <c r="C106" s="109"/>
      <c r="D106" s="109"/>
      <c r="E106" s="109"/>
      <c r="F106" s="109"/>
      <c r="G106" s="109"/>
      <c r="H106" s="110">
        <f t="shared" si="9"/>
        <v>0</v>
      </c>
      <c r="I106" s="110"/>
      <c r="J106" s="110"/>
      <c r="K106" s="111">
        <f t="shared" si="10"/>
        <v>0</v>
      </c>
      <c r="L106" s="111"/>
      <c r="M106" s="112">
        <f t="shared" si="7"/>
        <v>0</v>
      </c>
      <c r="N106" s="112"/>
      <c r="O106" s="112"/>
      <c r="P106" s="35">
        <f t="shared" si="8"/>
        <v>0</v>
      </c>
      <c r="R106" s="88"/>
      <c r="S106" s="88"/>
      <c r="T106" s="67"/>
    </row>
    <row r="107" spans="1:22" ht="25.15" customHeight="1" x14ac:dyDescent="0.25">
      <c r="A107" s="32">
        <f t="shared" si="6"/>
        <v>0</v>
      </c>
      <c r="B107" s="109">
        <f t="shared" si="6"/>
        <v>0</v>
      </c>
      <c r="C107" s="109"/>
      <c r="D107" s="109"/>
      <c r="E107" s="109"/>
      <c r="F107" s="109"/>
      <c r="G107" s="109"/>
      <c r="H107" s="110">
        <f t="shared" si="9"/>
        <v>0</v>
      </c>
      <c r="I107" s="110"/>
      <c r="J107" s="110"/>
      <c r="K107" s="111">
        <f t="shared" si="10"/>
        <v>0</v>
      </c>
      <c r="L107" s="111"/>
      <c r="M107" s="112">
        <f t="shared" si="7"/>
        <v>0</v>
      </c>
      <c r="N107" s="112"/>
      <c r="O107" s="112"/>
      <c r="P107" s="35">
        <f t="shared" si="8"/>
        <v>0</v>
      </c>
      <c r="R107" s="88"/>
      <c r="S107" s="88"/>
      <c r="T107" s="67"/>
    </row>
    <row r="108" spans="1:22" ht="25.15" customHeight="1" x14ac:dyDescent="0.25">
      <c r="A108" s="32">
        <f t="shared" si="6"/>
        <v>0</v>
      </c>
      <c r="B108" s="109">
        <f t="shared" si="6"/>
        <v>0</v>
      </c>
      <c r="C108" s="109"/>
      <c r="D108" s="109"/>
      <c r="E108" s="109"/>
      <c r="F108" s="109"/>
      <c r="G108" s="109"/>
      <c r="H108" s="110">
        <f t="shared" si="9"/>
        <v>0</v>
      </c>
      <c r="I108" s="110"/>
      <c r="J108" s="110"/>
      <c r="K108" s="111">
        <f t="shared" si="10"/>
        <v>0</v>
      </c>
      <c r="L108" s="111"/>
      <c r="M108" s="112">
        <f t="shared" si="7"/>
        <v>0</v>
      </c>
      <c r="N108" s="112"/>
      <c r="O108" s="112"/>
      <c r="P108" s="35">
        <f t="shared" si="8"/>
        <v>0</v>
      </c>
      <c r="R108" s="88"/>
      <c r="S108" s="88"/>
      <c r="T108" s="67"/>
    </row>
    <row r="109" spans="1:22" ht="25.15" customHeight="1" x14ac:dyDescent="0.25">
      <c r="A109" s="32">
        <f t="shared" si="6"/>
        <v>0</v>
      </c>
      <c r="B109" s="109">
        <f t="shared" si="6"/>
        <v>0</v>
      </c>
      <c r="C109" s="109"/>
      <c r="D109" s="109"/>
      <c r="E109" s="109"/>
      <c r="F109" s="109"/>
      <c r="G109" s="109"/>
      <c r="H109" s="110">
        <f t="shared" si="9"/>
        <v>0</v>
      </c>
      <c r="I109" s="110"/>
      <c r="J109" s="110"/>
      <c r="K109" s="111">
        <f t="shared" si="10"/>
        <v>0</v>
      </c>
      <c r="L109" s="111"/>
      <c r="M109" s="112">
        <f t="shared" si="7"/>
        <v>0</v>
      </c>
      <c r="N109" s="112"/>
      <c r="O109" s="112"/>
      <c r="P109" s="35">
        <f t="shared" si="8"/>
        <v>0</v>
      </c>
      <c r="R109" s="88"/>
      <c r="S109" s="88"/>
      <c r="T109" s="67"/>
    </row>
    <row r="110" spans="1:22" ht="25.15" customHeight="1" x14ac:dyDescent="0.25">
      <c r="A110" s="32">
        <f t="shared" si="6"/>
        <v>0</v>
      </c>
      <c r="B110" s="109">
        <f t="shared" si="6"/>
        <v>0</v>
      </c>
      <c r="C110" s="109"/>
      <c r="D110" s="109"/>
      <c r="E110" s="109"/>
      <c r="F110" s="109"/>
      <c r="G110" s="109"/>
      <c r="H110" s="110">
        <f t="shared" si="9"/>
        <v>0</v>
      </c>
      <c r="I110" s="110"/>
      <c r="J110" s="110"/>
      <c r="K110" s="111">
        <f t="shared" si="10"/>
        <v>0</v>
      </c>
      <c r="L110" s="111"/>
      <c r="M110" s="112">
        <f t="shared" si="7"/>
        <v>0</v>
      </c>
      <c r="N110" s="112"/>
      <c r="O110" s="112"/>
      <c r="P110" s="35">
        <f t="shared" si="8"/>
        <v>0</v>
      </c>
      <c r="R110" s="88"/>
      <c r="S110" s="88"/>
      <c r="T110" s="67"/>
    </row>
    <row r="111" spans="1:22" ht="25.15" customHeight="1" x14ac:dyDescent="0.25">
      <c r="A111" s="32">
        <f t="shared" si="6"/>
        <v>0</v>
      </c>
      <c r="B111" s="109">
        <f t="shared" si="6"/>
        <v>0</v>
      </c>
      <c r="C111" s="109"/>
      <c r="D111" s="109"/>
      <c r="E111" s="109"/>
      <c r="F111" s="109"/>
      <c r="G111" s="109"/>
      <c r="H111" s="110">
        <f t="shared" si="9"/>
        <v>0</v>
      </c>
      <c r="I111" s="110"/>
      <c r="J111" s="110"/>
      <c r="K111" s="111">
        <f t="shared" si="10"/>
        <v>0</v>
      </c>
      <c r="L111" s="111"/>
      <c r="M111" s="112">
        <f t="shared" si="7"/>
        <v>0</v>
      </c>
      <c r="N111" s="112"/>
      <c r="O111" s="112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09">
        <f t="shared" si="6"/>
        <v>0</v>
      </c>
      <c r="C112" s="109"/>
      <c r="D112" s="109"/>
      <c r="E112" s="109"/>
      <c r="F112" s="109"/>
      <c r="G112" s="109"/>
      <c r="H112" s="110">
        <f t="shared" si="9"/>
        <v>0</v>
      </c>
      <c r="I112" s="110"/>
      <c r="J112" s="110"/>
      <c r="K112" s="111">
        <f t="shared" si="10"/>
        <v>0</v>
      </c>
      <c r="L112" s="111"/>
      <c r="M112" s="112">
        <f t="shared" si="7"/>
        <v>0</v>
      </c>
      <c r="N112" s="112"/>
      <c r="O112" s="112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09">
        <f t="shared" si="11"/>
        <v>0</v>
      </c>
      <c r="C113" s="109"/>
      <c r="D113" s="109"/>
      <c r="E113" s="109"/>
      <c r="F113" s="109"/>
      <c r="G113" s="109"/>
      <c r="H113" s="110">
        <f t="shared" si="9"/>
        <v>0</v>
      </c>
      <c r="I113" s="110"/>
      <c r="J113" s="110"/>
      <c r="K113" s="111">
        <f t="shared" si="10"/>
        <v>0</v>
      </c>
      <c r="L113" s="111"/>
      <c r="M113" s="112">
        <f t="shared" si="7"/>
        <v>0</v>
      </c>
      <c r="N113" s="112"/>
      <c r="O113" s="112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09">
        <f t="shared" si="11"/>
        <v>0</v>
      </c>
      <c r="C114" s="109"/>
      <c r="D114" s="109"/>
      <c r="E114" s="109"/>
      <c r="F114" s="109"/>
      <c r="G114" s="109"/>
      <c r="H114" s="110">
        <f t="shared" si="9"/>
        <v>0</v>
      </c>
      <c r="I114" s="110"/>
      <c r="J114" s="110"/>
      <c r="K114" s="111">
        <f t="shared" si="10"/>
        <v>0</v>
      </c>
      <c r="L114" s="111"/>
      <c r="M114" s="112">
        <f t="shared" si="7"/>
        <v>0</v>
      </c>
      <c r="N114" s="112"/>
      <c r="O114" s="112"/>
      <c r="P114" s="35">
        <f t="shared" si="8"/>
        <v>0</v>
      </c>
    </row>
    <row r="115" spans="1:22" ht="21.95" customHeight="1" thickBot="1" x14ac:dyDescent="0.3">
      <c r="A115" s="126" t="s">
        <v>17</v>
      </c>
      <c r="B115" s="127"/>
      <c r="C115" s="127"/>
      <c r="D115" s="127"/>
      <c r="E115" s="127"/>
      <c r="F115" s="127"/>
      <c r="G115" s="116"/>
      <c r="H115" s="128">
        <f>SUM(H95:J114)</f>
        <v>5</v>
      </c>
      <c r="I115" s="129"/>
      <c r="J115" s="130"/>
      <c r="K115" s="131">
        <f>SUM(K95:L114)</f>
        <v>289</v>
      </c>
      <c r="L115" s="132"/>
      <c r="M115" s="133"/>
      <c r="N115" s="134"/>
      <c r="O115" s="135"/>
      <c r="P115" s="19"/>
    </row>
    <row r="117" spans="1:22" ht="31.9" customHeight="1" x14ac:dyDescent="0.25">
      <c r="A117" s="137" t="s">
        <v>22</v>
      </c>
      <c r="B117" s="138"/>
      <c r="C117" s="138"/>
      <c r="D117" s="139" t="str">
        <f>D77</f>
        <v>MD.JAMSHED</v>
      </c>
      <c r="E117" s="139"/>
      <c r="F117" s="139"/>
      <c r="G117" s="138" t="s">
        <v>23</v>
      </c>
      <c r="H117" s="138"/>
      <c r="I117" s="138"/>
      <c r="J117" s="138"/>
      <c r="K117" s="138"/>
      <c r="L117" s="138"/>
      <c r="M117" s="140" t="str">
        <f>M77</f>
        <v>01831-013822</v>
      </c>
      <c r="N117" s="140"/>
      <c r="O117" s="140"/>
      <c r="P117" s="141"/>
    </row>
    <row r="118" spans="1:22" ht="31.9" customHeight="1" x14ac:dyDescent="0.25">
      <c r="A118" s="142" t="s">
        <v>24</v>
      </c>
      <c r="B118" s="143"/>
      <c r="C118" s="143"/>
      <c r="D118" s="144" t="str">
        <f>D78</f>
        <v>LT0001</v>
      </c>
      <c r="E118" s="144"/>
      <c r="F118" s="144"/>
      <c r="G118" s="143" t="s">
        <v>25</v>
      </c>
      <c r="H118" s="143"/>
      <c r="I118" s="143"/>
      <c r="J118" s="143"/>
      <c r="K118" s="143"/>
      <c r="L118" s="143"/>
      <c r="M118" s="145" t="str">
        <f>M78</f>
        <v>D.M.TA 13-5578</v>
      </c>
      <c r="N118" s="145"/>
      <c r="O118" s="145"/>
      <c r="P118" s="146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36" t="s">
        <v>18</v>
      </c>
      <c r="B120" s="136"/>
      <c r="C120" s="136"/>
      <c r="D120" s="4"/>
      <c r="E120" s="4"/>
      <c r="F120" s="136" t="s">
        <v>19</v>
      </c>
      <c r="G120" s="136"/>
      <c r="H120" s="36"/>
      <c r="I120" s="36"/>
      <c r="J120" s="36"/>
      <c r="K120" s="4"/>
      <c r="L120" s="136" t="s">
        <v>20</v>
      </c>
      <c r="M120" s="136"/>
      <c r="N120" s="136"/>
      <c r="O120" s="136"/>
      <c r="P120" s="136"/>
    </row>
    <row r="121" spans="1:22" ht="8.25" customHeight="1" x14ac:dyDescent="0.25"/>
    <row r="122" spans="1:22" ht="36.75" customHeight="1" x14ac:dyDescent="0.25">
      <c r="A122" s="37"/>
      <c r="B122" s="37"/>
      <c r="C122" s="37"/>
      <c r="D122" s="38" t="s">
        <v>27</v>
      </c>
      <c r="E122" s="38"/>
      <c r="F122" s="38"/>
      <c r="G122" s="38"/>
      <c r="H122" s="38"/>
      <c r="I122" s="38"/>
      <c r="J122" s="38"/>
      <c r="K122" s="38"/>
      <c r="L122" s="38"/>
      <c r="M122" s="39" t="str">
        <f>M82</f>
        <v>FORM STR 03
REVISION NO 01</v>
      </c>
      <c r="N122" s="39"/>
      <c r="O122" s="39"/>
      <c r="P122" s="39"/>
      <c r="Q122" s="10"/>
    </row>
    <row r="123" spans="1:22" ht="22.15" customHeight="1" x14ac:dyDescent="0.25">
      <c r="A123" s="37"/>
      <c r="B123" s="37"/>
      <c r="C123" s="37"/>
      <c r="D123" s="38"/>
      <c r="E123" s="38"/>
      <c r="F123" s="38"/>
      <c r="G123" s="38"/>
      <c r="H123" s="38"/>
      <c r="I123" s="38"/>
      <c r="J123" s="38"/>
      <c r="K123" s="38"/>
      <c r="L123" s="38"/>
      <c r="M123" s="39"/>
      <c r="N123" s="39"/>
      <c r="O123" s="39"/>
      <c r="P123" s="39"/>
      <c r="Q123" s="10"/>
    </row>
    <row r="124" spans="1:22" ht="17.45" customHeight="1" x14ac:dyDescent="0.25">
      <c r="A124" s="40"/>
      <c r="B124" s="40"/>
      <c r="C124" s="40"/>
      <c r="D124" s="41" t="s">
        <v>21</v>
      </c>
      <c r="E124" s="41"/>
      <c r="F124" s="41"/>
      <c r="G124" s="41"/>
      <c r="H124" s="41"/>
      <c r="I124" s="41"/>
      <c r="J124" s="41"/>
      <c r="K124" s="41"/>
      <c r="L124" s="41"/>
      <c r="M124" s="11"/>
    </row>
    <row r="125" spans="1:22" ht="22.15" customHeight="1" thickBot="1" x14ac:dyDescent="0.35">
      <c r="A125" s="42"/>
      <c r="B125" s="42"/>
      <c r="C125" s="1"/>
      <c r="D125" s="43" t="s">
        <v>92</v>
      </c>
      <c r="E125" s="43"/>
      <c r="F125" s="43"/>
      <c r="G125" s="43"/>
      <c r="H125" s="43"/>
      <c r="I125" s="43"/>
      <c r="J125" s="43"/>
      <c r="K125" s="43"/>
      <c r="L125" s="43"/>
      <c r="M125" s="2"/>
      <c r="N125" s="37"/>
      <c r="O125" s="37"/>
      <c r="P125" s="37"/>
    </row>
    <row r="126" spans="1:22" ht="15.6" customHeight="1" thickBot="1" x14ac:dyDescent="0.35">
      <c r="A126" s="71" t="s">
        <v>9</v>
      </c>
      <c r="B126" s="72"/>
      <c r="C126" s="73" t="str">
        <f>C86</f>
        <v>O542</v>
      </c>
      <c r="D126" s="73"/>
      <c r="E126" s="73"/>
      <c r="F126" s="74"/>
      <c r="G126" s="2"/>
      <c r="H126" s="75" t="s">
        <v>4</v>
      </c>
      <c r="I126" s="76"/>
      <c r="J126" s="76"/>
      <c r="K126" s="8" t="s">
        <v>7</v>
      </c>
      <c r="L126" s="77" t="str">
        <f>L86</f>
        <v>JP 523798</v>
      </c>
      <c r="M126" s="77"/>
      <c r="N126" s="77"/>
      <c r="O126" s="77"/>
      <c r="P126" s="78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52" t="s">
        <v>5</v>
      </c>
      <c r="I127" s="53"/>
      <c r="J127" s="53"/>
      <c r="K127" s="9" t="s">
        <v>7</v>
      </c>
      <c r="L127" s="79">
        <f ca="1">L87</f>
        <v>45689.589567129631</v>
      </c>
      <c r="M127" s="79"/>
      <c r="N127" s="79"/>
      <c r="O127" s="79"/>
      <c r="P127" s="80"/>
      <c r="R127" s="88"/>
      <c r="S127" s="88"/>
      <c r="T127" s="147"/>
      <c r="U127" s="26"/>
      <c r="V127" s="147"/>
    </row>
    <row r="128" spans="1:22" ht="18" customHeight="1" x14ac:dyDescent="0.3">
      <c r="A128" s="46" t="str">
        <f>A88</f>
        <v>Summit Alliance Port Limited (OCL).
Katghar, North Patenga, Chitagong.</v>
      </c>
      <c r="B128" s="47"/>
      <c r="C128" s="47"/>
      <c r="D128" s="47"/>
      <c r="E128" s="47"/>
      <c r="F128" s="48"/>
      <c r="G128" s="2"/>
      <c r="H128" s="52" t="s">
        <v>8</v>
      </c>
      <c r="I128" s="53"/>
      <c r="J128" s="53"/>
      <c r="K128" s="9" t="s">
        <v>7</v>
      </c>
      <c r="L128" s="54" t="str">
        <f>L88</f>
        <v>SEA</v>
      </c>
      <c r="M128" s="54"/>
      <c r="N128" s="54"/>
      <c r="O128" s="54"/>
      <c r="P128" s="55"/>
      <c r="R128" s="88"/>
      <c r="S128" s="88"/>
      <c r="T128" s="148"/>
      <c r="U128" s="26"/>
      <c r="V128" s="148"/>
    </row>
    <row r="129" spans="1:22" ht="17.25" x14ac:dyDescent="0.3">
      <c r="A129" s="46"/>
      <c r="B129" s="47"/>
      <c r="C129" s="47"/>
      <c r="D129" s="47"/>
      <c r="E129" s="47"/>
      <c r="F129" s="48"/>
      <c r="G129" s="2"/>
      <c r="H129" s="56" t="s">
        <v>6</v>
      </c>
      <c r="I129" s="57"/>
      <c r="J129" s="57"/>
      <c r="K129" s="62" t="s">
        <v>7</v>
      </c>
      <c r="L129" s="65" t="str">
        <f>L89</f>
        <v>M/S. Kabir &amp; Co.
1104DT Road West Madarbari,
Chattogram, Bangladesh.</v>
      </c>
      <c r="M129" s="65"/>
      <c r="N129" s="65"/>
      <c r="O129" s="65"/>
      <c r="P129" s="66"/>
      <c r="R129" s="88"/>
      <c r="S129" s="88"/>
      <c r="T129" s="148"/>
      <c r="U129" s="26"/>
      <c r="V129" s="148"/>
    </row>
    <row r="130" spans="1:22" ht="18" thickBot="1" x14ac:dyDescent="0.35">
      <c r="A130" s="49"/>
      <c r="B130" s="50"/>
      <c r="C130" s="50"/>
      <c r="D130" s="50"/>
      <c r="E130" s="50"/>
      <c r="F130" s="51"/>
      <c r="G130" s="2"/>
      <c r="H130" s="58"/>
      <c r="I130" s="59"/>
      <c r="J130" s="59"/>
      <c r="K130" s="63"/>
      <c r="L130" s="67"/>
      <c r="M130" s="67"/>
      <c r="N130" s="67"/>
      <c r="O130" s="67"/>
      <c r="P130" s="68"/>
      <c r="R130" s="88"/>
      <c r="S130" s="88"/>
      <c r="T130" s="147"/>
      <c r="U130" s="26"/>
      <c r="V130" s="147"/>
    </row>
    <row r="131" spans="1:22" ht="18" customHeight="1" thickBot="1" x14ac:dyDescent="0.35">
      <c r="A131" s="42"/>
      <c r="B131" s="42"/>
      <c r="C131" s="1"/>
      <c r="D131" s="2"/>
      <c r="E131" s="2"/>
      <c r="F131" s="2"/>
      <c r="G131" s="2"/>
      <c r="H131" s="60"/>
      <c r="I131" s="61"/>
      <c r="J131" s="61"/>
      <c r="K131" s="64"/>
      <c r="L131" s="69"/>
      <c r="M131" s="69"/>
      <c r="N131" s="69"/>
      <c r="O131" s="69"/>
      <c r="P131" s="70"/>
      <c r="R131" s="88"/>
      <c r="S131" s="88"/>
      <c r="T131" s="147"/>
      <c r="U131" s="26"/>
      <c r="V131" s="148"/>
    </row>
    <row r="132" spans="1:22" ht="16.149999999999999" customHeight="1" x14ac:dyDescent="0.25">
      <c r="A132" s="103" t="s">
        <v>12</v>
      </c>
      <c r="B132" s="104"/>
      <c r="C132" s="105" t="s">
        <v>0</v>
      </c>
      <c r="D132" s="105"/>
      <c r="E132" s="105"/>
      <c r="F132" s="105"/>
      <c r="G132" s="105"/>
      <c r="H132" s="81" t="s">
        <v>1</v>
      </c>
      <c r="I132" s="82"/>
      <c r="J132" s="82"/>
      <c r="K132" s="82"/>
      <c r="L132" s="83"/>
      <c r="M132" s="84" t="s">
        <v>16</v>
      </c>
      <c r="N132" s="85"/>
      <c r="O132" s="86"/>
      <c r="P132" s="149" t="s">
        <v>3</v>
      </c>
      <c r="R132" s="88"/>
      <c r="S132" s="88"/>
      <c r="T132" s="147"/>
      <c r="U132" s="26"/>
      <c r="V132" s="148"/>
    </row>
    <row r="133" spans="1:22" ht="16.149999999999999" customHeight="1" x14ac:dyDescent="0.25">
      <c r="A133" s="3" t="s">
        <v>13</v>
      </c>
      <c r="B133" s="33">
        <f>B93</f>
        <v>0</v>
      </c>
      <c r="C133" s="96" t="str">
        <f>C93</f>
        <v>Delivery of Readymade Garments</v>
      </c>
      <c r="D133" s="96"/>
      <c r="E133" s="96"/>
      <c r="F133" s="96"/>
      <c r="G133" s="96"/>
      <c r="H133" s="165" t="s">
        <v>2</v>
      </c>
      <c r="I133" s="166"/>
      <c r="J133" s="167"/>
      <c r="K133" s="165" t="s">
        <v>15</v>
      </c>
      <c r="L133" s="167"/>
      <c r="M133" s="87"/>
      <c r="N133" s="88"/>
      <c r="O133" s="89"/>
      <c r="P133" s="150"/>
      <c r="R133" s="88"/>
      <c r="S133" s="88"/>
      <c r="T133" s="147"/>
      <c r="V133" s="147"/>
    </row>
    <row r="134" spans="1:22" ht="16.149999999999999" customHeight="1" thickBot="1" x14ac:dyDescent="0.3">
      <c r="A134" s="113" t="s">
        <v>11</v>
      </c>
      <c r="B134" s="114"/>
      <c r="C134" s="115" t="str">
        <f>C94</f>
        <v>H &amp; M</v>
      </c>
      <c r="D134" s="116"/>
      <c r="E134" s="117" t="s">
        <v>88</v>
      </c>
      <c r="F134" s="118"/>
      <c r="G134" s="114"/>
      <c r="H134" s="100"/>
      <c r="I134" s="101"/>
      <c r="J134" s="102"/>
      <c r="K134" s="100"/>
      <c r="L134" s="102"/>
      <c r="M134" s="90"/>
      <c r="N134" s="91"/>
      <c r="O134" s="92"/>
      <c r="P134" s="151"/>
      <c r="R134" s="88"/>
      <c r="S134" s="88"/>
      <c r="T134" s="147"/>
      <c r="V134" s="148"/>
    </row>
    <row r="135" spans="1:22" ht="25.15" customHeight="1" x14ac:dyDescent="0.25">
      <c r="A135" s="31">
        <f>A95</f>
        <v>0</v>
      </c>
      <c r="B135" s="119" t="str">
        <f>B95</f>
        <v>277743-7952</v>
      </c>
      <c r="C135" s="119"/>
      <c r="D135" s="119"/>
      <c r="E135" s="119"/>
      <c r="F135" s="119"/>
      <c r="G135" s="119"/>
      <c r="H135" s="160">
        <f>H95</f>
        <v>5</v>
      </c>
      <c r="I135" s="161"/>
      <c r="J135" s="162"/>
      <c r="K135" s="163">
        <f>K95</f>
        <v>289</v>
      </c>
      <c r="L135" s="164"/>
      <c r="M135" s="106" t="str">
        <f>M95</f>
        <v>TW</v>
      </c>
      <c r="N135" s="107"/>
      <c r="O135" s="108"/>
      <c r="P135" s="34">
        <f>P95</f>
        <v>0</v>
      </c>
      <c r="R135" s="88"/>
      <c r="S135" s="88"/>
      <c r="T135" s="147"/>
      <c r="V135" s="148"/>
    </row>
    <row r="136" spans="1:22" ht="25.15" customHeight="1" x14ac:dyDescent="0.25">
      <c r="A136" s="32">
        <f>A96</f>
        <v>0</v>
      </c>
      <c r="B136" s="109">
        <f>B96</f>
        <v>0</v>
      </c>
      <c r="C136" s="109"/>
      <c r="D136" s="109"/>
      <c r="E136" s="109"/>
      <c r="F136" s="109"/>
      <c r="G136" s="109"/>
      <c r="H136" s="152">
        <f>H96</f>
        <v>0</v>
      </c>
      <c r="I136" s="153"/>
      <c r="J136" s="154"/>
      <c r="K136" s="155">
        <f>K96</f>
        <v>0</v>
      </c>
      <c r="L136" s="156"/>
      <c r="M136" s="157">
        <f>M96</f>
        <v>0</v>
      </c>
      <c r="N136" s="158"/>
      <c r="O136" s="159"/>
      <c r="P136" s="35">
        <f>P96</f>
        <v>0</v>
      </c>
      <c r="R136" s="88"/>
      <c r="S136" s="88"/>
      <c r="T136" s="67"/>
      <c r="V136" s="147"/>
    </row>
    <row r="137" spans="1:22" ht="25.15" customHeight="1" x14ac:dyDescent="0.25">
      <c r="A137" s="32">
        <f t="shared" ref="A137:B152" si="12">A97</f>
        <v>0</v>
      </c>
      <c r="B137" s="109">
        <f t="shared" si="12"/>
        <v>0</v>
      </c>
      <c r="C137" s="109"/>
      <c r="D137" s="109"/>
      <c r="E137" s="109"/>
      <c r="F137" s="109"/>
      <c r="G137" s="109"/>
      <c r="H137" s="152">
        <f>H97</f>
        <v>0</v>
      </c>
      <c r="I137" s="153"/>
      <c r="J137" s="154"/>
      <c r="K137" s="155">
        <f>K97</f>
        <v>0</v>
      </c>
      <c r="L137" s="156"/>
      <c r="M137" s="157">
        <f t="shared" ref="M137:M154" si="13">M97</f>
        <v>0</v>
      </c>
      <c r="N137" s="158"/>
      <c r="O137" s="159"/>
      <c r="P137" s="35">
        <f t="shared" ref="P137:P154" si="14">P97</f>
        <v>0</v>
      </c>
      <c r="R137" s="88"/>
      <c r="S137" s="88"/>
      <c r="T137" s="67"/>
      <c r="V137" s="148"/>
    </row>
    <row r="138" spans="1:22" ht="25.15" customHeight="1" x14ac:dyDescent="0.25">
      <c r="A138" s="32">
        <f t="shared" si="12"/>
        <v>0</v>
      </c>
      <c r="B138" s="109">
        <f t="shared" si="12"/>
        <v>0</v>
      </c>
      <c r="C138" s="109"/>
      <c r="D138" s="109"/>
      <c r="E138" s="109"/>
      <c r="F138" s="109"/>
      <c r="G138" s="109"/>
      <c r="H138" s="152">
        <f t="shared" ref="H138:H154" si="15">H98</f>
        <v>0</v>
      </c>
      <c r="I138" s="153"/>
      <c r="J138" s="154"/>
      <c r="K138" s="155">
        <f t="shared" ref="K138:K154" si="16">K98</f>
        <v>0</v>
      </c>
      <c r="L138" s="156"/>
      <c r="M138" s="157">
        <f t="shared" si="13"/>
        <v>0</v>
      </c>
      <c r="N138" s="158"/>
      <c r="O138" s="159"/>
      <c r="P138" s="35">
        <f t="shared" si="14"/>
        <v>0</v>
      </c>
      <c r="R138" s="88"/>
      <c r="S138" s="88"/>
      <c r="T138" s="67"/>
      <c r="V138" s="148"/>
    </row>
    <row r="139" spans="1:22" ht="25.15" customHeight="1" x14ac:dyDescent="0.25">
      <c r="A139" s="32">
        <f t="shared" si="12"/>
        <v>0</v>
      </c>
      <c r="B139" s="109">
        <f t="shared" si="12"/>
        <v>0</v>
      </c>
      <c r="C139" s="109"/>
      <c r="D139" s="109"/>
      <c r="E139" s="109"/>
      <c r="F139" s="109"/>
      <c r="G139" s="109"/>
      <c r="H139" s="152">
        <f t="shared" si="15"/>
        <v>0</v>
      </c>
      <c r="I139" s="153"/>
      <c r="J139" s="154"/>
      <c r="K139" s="155">
        <f t="shared" si="16"/>
        <v>0</v>
      </c>
      <c r="L139" s="156"/>
      <c r="M139" s="157">
        <f t="shared" si="13"/>
        <v>0</v>
      </c>
      <c r="N139" s="158"/>
      <c r="O139" s="159"/>
      <c r="P139" s="35">
        <f t="shared" si="14"/>
        <v>0</v>
      </c>
      <c r="R139" s="88"/>
      <c r="S139" s="88"/>
      <c r="T139" s="67"/>
      <c r="V139" s="147"/>
    </row>
    <row r="140" spans="1:22" ht="25.15" customHeight="1" x14ac:dyDescent="0.25">
      <c r="A140" s="32">
        <f t="shared" si="12"/>
        <v>0</v>
      </c>
      <c r="B140" s="109">
        <f t="shared" si="12"/>
        <v>0</v>
      </c>
      <c r="C140" s="109"/>
      <c r="D140" s="109"/>
      <c r="E140" s="109"/>
      <c r="F140" s="109"/>
      <c r="G140" s="109"/>
      <c r="H140" s="152">
        <f t="shared" si="15"/>
        <v>0</v>
      </c>
      <c r="I140" s="153"/>
      <c r="J140" s="154"/>
      <c r="K140" s="155">
        <f t="shared" si="16"/>
        <v>0</v>
      </c>
      <c r="L140" s="156"/>
      <c r="M140" s="157">
        <f t="shared" si="13"/>
        <v>0</v>
      </c>
      <c r="N140" s="158"/>
      <c r="O140" s="159"/>
      <c r="P140" s="35">
        <f t="shared" si="14"/>
        <v>0</v>
      </c>
      <c r="R140" s="88"/>
      <c r="S140" s="88"/>
      <c r="T140" s="67"/>
      <c r="V140" s="148"/>
    </row>
    <row r="141" spans="1:22" ht="25.15" customHeight="1" x14ac:dyDescent="0.25">
      <c r="A141" s="32">
        <f t="shared" si="12"/>
        <v>0</v>
      </c>
      <c r="B141" s="109">
        <f t="shared" si="12"/>
        <v>0</v>
      </c>
      <c r="C141" s="109"/>
      <c r="D141" s="109"/>
      <c r="E141" s="109"/>
      <c r="F141" s="109"/>
      <c r="G141" s="109"/>
      <c r="H141" s="152">
        <f t="shared" si="15"/>
        <v>0</v>
      </c>
      <c r="I141" s="153"/>
      <c r="J141" s="154"/>
      <c r="K141" s="155">
        <f t="shared" si="16"/>
        <v>0</v>
      </c>
      <c r="L141" s="156"/>
      <c r="M141" s="157">
        <f t="shared" si="13"/>
        <v>0</v>
      </c>
      <c r="N141" s="158"/>
      <c r="O141" s="159"/>
      <c r="P141" s="35">
        <f t="shared" si="14"/>
        <v>0</v>
      </c>
      <c r="R141" s="88"/>
      <c r="S141" s="88"/>
      <c r="T141" s="67"/>
      <c r="V141" s="148"/>
    </row>
    <row r="142" spans="1:22" ht="25.15" customHeight="1" x14ac:dyDescent="0.25">
      <c r="A142" s="32">
        <f t="shared" si="12"/>
        <v>0</v>
      </c>
      <c r="B142" s="109">
        <f t="shared" si="12"/>
        <v>0</v>
      </c>
      <c r="C142" s="109"/>
      <c r="D142" s="109"/>
      <c r="E142" s="109"/>
      <c r="F142" s="109"/>
      <c r="G142" s="109"/>
      <c r="H142" s="152">
        <f t="shared" si="15"/>
        <v>0</v>
      </c>
      <c r="I142" s="153"/>
      <c r="J142" s="154"/>
      <c r="K142" s="155">
        <f t="shared" si="16"/>
        <v>0</v>
      </c>
      <c r="L142" s="156"/>
      <c r="M142" s="157">
        <f t="shared" si="13"/>
        <v>0</v>
      </c>
      <c r="N142" s="158"/>
      <c r="O142" s="159"/>
      <c r="P142" s="35">
        <f t="shared" si="14"/>
        <v>0</v>
      </c>
      <c r="R142" s="88"/>
      <c r="S142" s="88"/>
      <c r="T142" s="67"/>
    </row>
    <row r="143" spans="1:22" ht="25.15" customHeight="1" x14ac:dyDescent="0.25">
      <c r="A143" s="32">
        <f t="shared" si="12"/>
        <v>0</v>
      </c>
      <c r="B143" s="109">
        <f t="shared" si="12"/>
        <v>0</v>
      </c>
      <c r="C143" s="109"/>
      <c r="D143" s="109"/>
      <c r="E143" s="109"/>
      <c r="F143" s="109"/>
      <c r="G143" s="109"/>
      <c r="H143" s="152">
        <f t="shared" si="15"/>
        <v>0</v>
      </c>
      <c r="I143" s="153"/>
      <c r="J143" s="154"/>
      <c r="K143" s="155">
        <f t="shared" si="16"/>
        <v>0</v>
      </c>
      <c r="L143" s="156"/>
      <c r="M143" s="157">
        <f t="shared" si="13"/>
        <v>0</v>
      </c>
      <c r="N143" s="158"/>
      <c r="O143" s="159"/>
      <c r="P143" s="35">
        <f t="shared" si="14"/>
        <v>0</v>
      </c>
      <c r="R143" s="88"/>
      <c r="S143" s="88"/>
      <c r="T143" s="67"/>
    </row>
    <row r="144" spans="1:22" ht="25.15" customHeight="1" x14ac:dyDescent="0.25">
      <c r="A144" s="32">
        <f t="shared" si="12"/>
        <v>0</v>
      </c>
      <c r="B144" s="109">
        <f t="shared" si="12"/>
        <v>0</v>
      </c>
      <c r="C144" s="109"/>
      <c r="D144" s="109"/>
      <c r="E144" s="109"/>
      <c r="F144" s="109"/>
      <c r="G144" s="109"/>
      <c r="H144" s="152">
        <f t="shared" si="15"/>
        <v>0</v>
      </c>
      <c r="I144" s="153"/>
      <c r="J144" s="154"/>
      <c r="K144" s="155">
        <f t="shared" si="16"/>
        <v>0</v>
      </c>
      <c r="L144" s="156"/>
      <c r="M144" s="157">
        <f t="shared" si="13"/>
        <v>0</v>
      </c>
      <c r="N144" s="158"/>
      <c r="O144" s="159"/>
      <c r="P144" s="35">
        <f t="shared" si="14"/>
        <v>0</v>
      </c>
      <c r="R144" s="88"/>
      <c r="S144" s="88"/>
      <c r="T144" s="67"/>
    </row>
    <row r="145" spans="1:20" ht="25.15" customHeight="1" x14ac:dyDescent="0.25">
      <c r="A145" s="32">
        <f t="shared" si="12"/>
        <v>0</v>
      </c>
      <c r="B145" s="109">
        <f t="shared" si="12"/>
        <v>0</v>
      </c>
      <c r="C145" s="109"/>
      <c r="D145" s="109"/>
      <c r="E145" s="109"/>
      <c r="F145" s="109"/>
      <c r="G145" s="109"/>
      <c r="H145" s="152">
        <f t="shared" si="15"/>
        <v>0</v>
      </c>
      <c r="I145" s="153"/>
      <c r="J145" s="154"/>
      <c r="K145" s="155">
        <f t="shared" si="16"/>
        <v>0</v>
      </c>
      <c r="L145" s="156"/>
      <c r="M145" s="157">
        <f t="shared" si="13"/>
        <v>0</v>
      </c>
      <c r="N145" s="158"/>
      <c r="O145" s="159"/>
      <c r="P145" s="35">
        <f t="shared" si="14"/>
        <v>0</v>
      </c>
      <c r="R145" s="88"/>
      <c r="S145" s="88"/>
      <c r="T145" s="67"/>
    </row>
    <row r="146" spans="1:20" ht="25.15" customHeight="1" x14ac:dyDescent="0.25">
      <c r="A146" s="32">
        <f t="shared" si="12"/>
        <v>0</v>
      </c>
      <c r="B146" s="109">
        <f t="shared" si="12"/>
        <v>0</v>
      </c>
      <c r="C146" s="109"/>
      <c r="D146" s="109"/>
      <c r="E146" s="109"/>
      <c r="F146" s="109"/>
      <c r="G146" s="109"/>
      <c r="H146" s="152">
        <f t="shared" si="15"/>
        <v>0</v>
      </c>
      <c r="I146" s="153"/>
      <c r="J146" s="154"/>
      <c r="K146" s="155">
        <f t="shared" si="16"/>
        <v>0</v>
      </c>
      <c r="L146" s="156"/>
      <c r="M146" s="157">
        <f t="shared" si="13"/>
        <v>0</v>
      </c>
      <c r="N146" s="158"/>
      <c r="O146" s="159"/>
      <c r="P146" s="35">
        <f t="shared" si="14"/>
        <v>0</v>
      </c>
      <c r="R146" s="88"/>
      <c r="S146" s="88"/>
      <c r="T146" s="67"/>
    </row>
    <row r="147" spans="1:20" ht="25.15" customHeight="1" x14ac:dyDescent="0.25">
      <c r="A147" s="32">
        <f t="shared" si="12"/>
        <v>0</v>
      </c>
      <c r="B147" s="109">
        <f t="shared" si="12"/>
        <v>0</v>
      </c>
      <c r="C147" s="109"/>
      <c r="D147" s="109"/>
      <c r="E147" s="109"/>
      <c r="F147" s="109"/>
      <c r="G147" s="109"/>
      <c r="H147" s="152">
        <f t="shared" si="15"/>
        <v>0</v>
      </c>
      <c r="I147" s="153"/>
      <c r="J147" s="154"/>
      <c r="K147" s="155">
        <f t="shared" si="16"/>
        <v>0</v>
      </c>
      <c r="L147" s="156"/>
      <c r="M147" s="157">
        <f t="shared" si="13"/>
        <v>0</v>
      </c>
      <c r="N147" s="158"/>
      <c r="O147" s="159"/>
      <c r="P147" s="35">
        <f t="shared" si="14"/>
        <v>0</v>
      </c>
      <c r="R147" s="88"/>
      <c r="S147" s="88"/>
      <c r="T147" s="67"/>
    </row>
    <row r="148" spans="1:20" ht="25.15" customHeight="1" x14ac:dyDescent="0.25">
      <c r="A148" s="32">
        <f t="shared" si="12"/>
        <v>0</v>
      </c>
      <c r="B148" s="109">
        <f t="shared" si="12"/>
        <v>0</v>
      </c>
      <c r="C148" s="109"/>
      <c r="D148" s="109"/>
      <c r="E148" s="109"/>
      <c r="F148" s="109"/>
      <c r="G148" s="109"/>
      <c r="H148" s="152">
        <f t="shared" si="15"/>
        <v>0</v>
      </c>
      <c r="I148" s="153"/>
      <c r="J148" s="154"/>
      <c r="K148" s="155">
        <f t="shared" si="16"/>
        <v>0</v>
      </c>
      <c r="L148" s="156"/>
      <c r="M148" s="157">
        <f t="shared" si="13"/>
        <v>0</v>
      </c>
      <c r="N148" s="158"/>
      <c r="O148" s="159"/>
      <c r="P148" s="35">
        <f t="shared" si="14"/>
        <v>0</v>
      </c>
      <c r="R148" s="88"/>
      <c r="S148" s="88"/>
      <c r="T148" s="67"/>
    </row>
    <row r="149" spans="1:20" ht="25.15" customHeight="1" x14ac:dyDescent="0.25">
      <c r="A149" s="32">
        <f t="shared" si="12"/>
        <v>0</v>
      </c>
      <c r="B149" s="109">
        <f t="shared" si="12"/>
        <v>0</v>
      </c>
      <c r="C149" s="109"/>
      <c r="D149" s="109"/>
      <c r="E149" s="109"/>
      <c r="F149" s="109"/>
      <c r="G149" s="109"/>
      <c r="H149" s="152">
        <f t="shared" si="15"/>
        <v>0</v>
      </c>
      <c r="I149" s="153"/>
      <c r="J149" s="154"/>
      <c r="K149" s="155">
        <f t="shared" si="16"/>
        <v>0</v>
      </c>
      <c r="L149" s="156"/>
      <c r="M149" s="157">
        <f t="shared" si="13"/>
        <v>0</v>
      </c>
      <c r="N149" s="158"/>
      <c r="O149" s="159"/>
      <c r="P149" s="35">
        <f t="shared" si="14"/>
        <v>0</v>
      </c>
      <c r="R149" s="88"/>
      <c r="S149" s="88"/>
      <c r="T149" s="67"/>
    </row>
    <row r="150" spans="1:20" ht="25.15" customHeight="1" x14ac:dyDescent="0.25">
      <c r="A150" s="32">
        <f t="shared" si="12"/>
        <v>0</v>
      </c>
      <c r="B150" s="109">
        <f t="shared" si="12"/>
        <v>0</v>
      </c>
      <c r="C150" s="109"/>
      <c r="D150" s="109"/>
      <c r="E150" s="109"/>
      <c r="F150" s="109"/>
      <c r="G150" s="109"/>
      <c r="H150" s="152">
        <f t="shared" si="15"/>
        <v>0</v>
      </c>
      <c r="I150" s="153"/>
      <c r="J150" s="154"/>
      <c r="K150" s="155">
        <f t="shared" si="16"/>
        <v>0</v>
      </c>
      <c r="L150" s="156"/>
      <c r="M150" s="157">
        <f t="shared" si="13"/>
        <v>0</v>
      </c>
      <c r="N150" s="158"/>
      <c r="O150" s="159"/>
      <c r="P150" s="35">
        <f t="shared" si="14"/>
        <v>0</v>
      </c>
      <c r="R150" s="88"/>
      <c r="S150" s="88"/>
      <c r="T150" s="67"/>
    </row>
    <row r="151" spans="1:20" ht="25.15" customHeight="1" x14ac:dyDescent="0.25">
      <c r="A151" s="32">
        <f t="shared" si="12"/>
        <v>0</v>
      </c>
      <c r="B151" s="109">
        <f t="shared" si="12"/>
        <v>0</v>
      </c>
      <c r="C151" s="109"/>
      <c r="D151" s="109"/>
      <c r="E151" s="109"/>
      <c r="F151" s="109"/>
      <c r="G151" s="109"/>
      <c r="H151" s="152">
        <f t="shared" si="15"/>
        <v>0</v>
      </c>
      <c r="I151" s="153"/>
      <c r="J151" s="154"/>
      <c r="K151" s="155">
        <f t="shared" si="16"/>
        <v>0</v>
      </c>
      <c r="L151" s="156"/>
      <c r="M151" s="157">
        <f t="shared" si="13"/>
        <v>0</v>
      </c>
      <c r="N151" s="158"/>
      <c r="O151" s="159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09">
        <f t="shared" si="12"/>
        <v>0</v>
      </c>
      <c r="C152" s="109"/>
      <c r="D152" s="109"/>
      <c r="E152" s="109"/>
      <c r="F152" s="109"/>
      <c r="G152" s="109"/>
      <c r="H152" s="152">
        <f t="shared" si="15"/>
        <v>0</v>
      </c>
      <c r="I152" s="153"/>
      <c r="J152" s="154"/>
      <c r="K152" s="155">
        <f t="shared" si="16"/>
        <v>0</v>
      </c>
      <c r="L152" s="156"/>
      <c r="M152" s="157">
        <f t="shared" si="13"/>
        <v>0</v>
      </c>
      <c r="N152" s="158"/>
      <c r="O152" s="159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09">
        <f t="shared" si="17"/>
        <v>0</v>
      </c>
      <c r="C153" s="109"/>
      <c r="D153" s="109"/>
      <c r="E153" s="109"/>
      <c r="F153" s="109"/>
      <c r="G153" s="109"/>
      <c r="H153" s="152">
        <f t="shared" si="15"/>
        <v>0</v>
      </c>
      <c r="I153" s="153"/>
      <c r="J153" s="154"/>
      <c r="K153" s="155">
        <f t="shared" si="16"/>
        <v>0</v>
      </c>
      <c r="L153" s="156"/>
      <c r="M153" s="157">
        <f t="shared" si="13"/>
        <v>0</v>
      </c>
      <c r="N153" s="158"/>
      <c r="O153" s="159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09">
        <f t="shared" si="17"/>
        <v>0</v>
      </c>
      <c r="C154" s="109"/>
      <c r="D154" s="109"/>
      <c r="E154" s="109"/>
      <c r="F154" s="109"/>
      <c r="G154" s="109"/>
      <c r="H154" s="152">
        <f t="shared" si="15"/>
        <v>0</v>
      </c>
      <c r="I154" s="153"/>
      <c r="J154" s="154"/>
      <c r="K154" s="155">
        <f t="shared" si="16"/>
        <v>0</v>
      </c>
      <c r="L154" s="156"/>
      <c r="M154" s="157">
        <f t="shared" si="13"/>
        <v>0</v>
      </c>
      <c r="N154" s="158"/>
      <c r="O154" s="159"/>
      <c r="P154" s="35">
        <f t="shared" si="14"/>
        <v>0</v>
      </c>
    </row>
    <row r="155" spans="1:20" ht="21.95" customHeight="1" thickBot="1" x14ac:dyDescent="0.3">
      <c r="A155" s="126" t="s">
        <v>17</v>
      </c>
      <c r="B155" s="127"/>
      <c r="C155" s="127"/>
      <c r="D155" s="127"/>
      <c r="E155" s="127"/>
      <c r="F155" s="127"/>
      <c r="G155" s="116"/>
      <c r="H155" s="128">
        <f>SUM(H135:J154)</f>
        <v>5</v>
      </c>
      <c r="I155" s="168"/>
      <c r="J155" s="169"/>
      <c r="K155" s="131">
        <f>SUM(K135:L154)</f>
        <v>289</v>
      </c>
      <c r="L155" s="132"/>
      <c r="M155" s="133"/>
      <c r="N155" s="134"/>
      <c r="O155" s="135"/>
      <c r="P155" s="19"/>
    </row>
    <row r="157" spans="1:20" ht="31.9" customHeight="1" x14ac:dyDescent="0.25">
      <c r="A157" s="137" t="s">
        <v>22</v>
      </c>
      <c r="B157" s="138"/>
      <c r="C157" s="138"/>
      <c r="D157" s="139" t="str">
        <f>D117</f>
        <v>MD.JAMSHED</v>
      </c>
      <c r="E157" s="139"/>
      <c r="F157" s="139"/>
      <c r="G157" s="138" t="s">
        <v>23</v>
      </c>
      <c r="H157" s="138"/>
      <c r="I157" s="138"/>
      <c r="J157" s="138"/>
      <c r="K157" s="138"/>
      <c r="L157" s="138"/>
      <c r="M157" s="140" t="str">
        <f>M117</f>
        <v>01831-013822</v>
      </c>
      <c r="N157" s="140"/>
      <c r="O157" s="140"/>
      <c r="P157" s="141"/>
    </row>
    <row r="158" spans="1:20" ht="31.9" customHeight="1" x14ac:dyDescent="0.25">
      <c r="A158" s="142" t="s">
        <v>24</v>
      </c>
      <c r="B158" s="143"/>
      <c r="C158" s="143"/>
      <c r="D158" s="144" t="str">
        <f>D118</f>
        <v>LT0001</v>
      </c>
      <c r="E158" s="144"/>
      <c r="F158" s="144"/>
      <c r="G158" s="143" t="s">
        <v>25</v>
      </c>
      <c r="H158" s="143"/>
      <c r="I158" s="143"/>
      <c r="J158" s="143"/>
      <c r="K158" s="143"/>
      <c r="L158" s="143"/>
      <c r="M158" s="145" t="str">
        <f>M118</f>
        <v>D.M.TA 13-5578</v>
      </c>
      <c r="N158" s="145"/>
      <c r="O158" s="145"/>
      <c r="P158" s="146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36" t="s">
        <v>18</v>
      </c>
      <c r="B160" s="136"/>
      <c r="C160" s="136"/>
      <c r="D160" s="4"/>
      <c r="E160" s="4"/>
      <c r="F160" s="136" t="s">
        <v>19</v>
      </c>
      <c r="G160" s="136"/>
      <c r="H160" s="36"/>
      <c r="I160" s="36"/>
      <c r="J160" s="36"/>
      <c r="K160" s="4"/>
      <c r="L160" s="136" t="s">
        <v>20</v>
      </c>
      <c r="M160" s="136"/>
      <c r="N160" s="136"/>
      <c r="O160" s="136"/>
      <c r="P160" s="136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26:G26"/>
    <mergeCell ref="H26:J26"/>
    <mergeCell ref="K26:L26"/>
    <mergeCell ref="M26:O26"/>
    <mergeCell ref="B27:G27"/>
    <mergeCell ref="H27:J27"/>
    <mergeCell ref="K27:L27"/>
    <mergeCell ref="M27:O27"/>
    <mergeCell ref="B24:G24"/>
    <mergeCell ref="H24:J24"/>
    <mergeCell ref="K24:L24"/>
    <mergeCell ref="M24:O24"/>
    <mergeCell ref="B25:G25"/>
    <mergeCell ref="H25:J25"/>
    <mergeCell ref="K25:L25"/>
    <mergeCell ref="M25:O25"/>
    <mergeCell ref="V16:V18"/>
    <mergeCell ref="B17:G17"/>
    <mergeCell ref="H17:J17"/>
    <mergeCell ref="K17:L17"/>
    <mergeCell ref="M17:O17"/>
    <mergeCell ref="B18:G18"/>
    <mergeCell ref="B23:G23"/>
    <mergeCell ref="H23:J23"/>
    <mergeCell ref="K23:L23"/>
    <mergeCell ref="M23:O23"/>
    <mergeCell ref="V19:V21"/>
    <mergeCell ref="B20:G20"/>
    <mergeCell ref="H20:J20"/>
    <mergeCell ref="K20:L20"/>
    <mergeCell ref="M20:O20"/>
    <mergeCell ref="B21:G21"/>
    <mergeCell ref="H21:J21"/>
    <mergeCell ref="K21:L21"/>
    <mergeCell ref="M21:O21"/>
    <mergeCell ref="B19:G19"/>
    <mergeCell ref="H19:J19"/>
    <mergeCell ref="K19:L19"/>
    <mergeCell ref="M19:O19"/>
    <mergeCell ref="M15:O15"/>
    <mergeCell ref="H18:J18"/>
    <mergeCell ref="K18:L18"/>
    <mergeCell ref="M18:O18"/>
    <mergeCell ref="B16:G16"/>
    <mergeCell ref="H16:J16"/>
    <mergeCell ref="K16:L16"/>
    <mergeCell ref="M16:O16"/>
    <mergeCell ref="B22:G22"/>
    <mergeCell ref="H22:J22"/>
    <mergeCell ref="K22:L22"/>
    <mergeCell ref="M22:O22"/>
    <mergeCell ref="C12:G12"/>
    <mergeCell ref="H12:L12"/>
    <mergeCell ref="M12:O14"/>
    <mergeCell ref="P12:P14"/>
    <mergeCell ref="C13:G13"/>
    <mergeCell ref="H13:J14"/>
    <mergeCell ref="K13:L14"/>
    <mergeCell ref="V7:V9"/>
    <mergeCell ref="A8:F10"/>
    <mergeCell ref="H8:J8"/>
    <mergeCell ref="L8:P8"/>
    <mergeCell ref="H9:J11"/>
    <mergeCell ref="K9:K11"/>
    <mergeCell ref="L9:P11"/>
    <mergeCell ref="V10:V12"/>
    <mergeCell ref="A11:B11"/>
    <mergeCell ref="A12:B12"/>
    <mergeCell ref="V13:V15"/>
    <mergeCell ref="A14:B14"/>
    <mergeCell ref="C14:D14"/>
    <mergeCell ref="E14:G14"/>
    <mergeCell ref="B15:G15"/>
    <mergeCell ref="H15:J15"/>
    <mergeCell ref="K15:L15"/>
    <mergeCell ref="A6:B6"/>
    <mergeCell ref="C6:F6"/>
    <mergeCell ref="H6:J6"/>
    <mergeCell ref="L6:P6"/>
    <mergeCell ref="H7:J7"/>
    <mergeCell ref="L7:P7"/>
    <mergeCell ref="A2:C3"/>
    <mergeCell ref="D2:L3"/>
    <mergeCell ref="M2:P3"/>
    <mergeCell ref="A4:C4"/>
    <mergeCell ref="D4:L4"/>
    <mergeCell ref="A5:B5"/>
    <mergeCell ref="D5:L5"/>
    <mergeCell ref="N5:P5"/>
  </mergeCells>
  <dataValidations count="4">
    <dataValidation type="list" allowBlank="1" showInputMessage="1" showErrorMessage="1" sqref="L8:P8 L48:P48 L88:P88 L128:P128" xr:uid="{29DC00AA-0301-4E7C-A99B-1C8B712D44C2}">
      <formula1>Mode</formula1>
    </dataValidation>
    <dataValidation type="list" allowBlank="1" showInputMessage="1" showErrorMessage="1" sqref="A8 A48 A88 A128" xr:uid="{91421D17-F79A-4C74-AC45-9287C53CD39B}">
      <formula1>$T$7:$T$35</formula1>
    </dataValidation>
    <dataValidation type="list" allowBlank="1" showInputMessage="1" showErrorMessage="1" sqref="L9:P11 L49:P51 L89:P91 L129:P131" xr:uid="{CC955D17-83DD-490F-BF43-95A4BB2FED38}">
      <formula1>Carrier</formula1>
    </dataValidation>
    <dataValidation type="list" allowBlank="1" showInputMessage="1" showErrorMessage="1" sqref="C14:D14 C94:D94 C54:D54 C134:D134" xr:uid="{DD39FBC6-E5FC-4F33-A40B-3E41B59B1F07}">
      <formula1>$W$7:$W$161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BC56-DAF2-4B3B-A2BB-FC3DD8E04F9F}">
  <sheetPr>
    <tabColor rgb="FF00B050"/>
  </sheetPr>
  <dimension ref="A1:Y168"/>
  <sheetViews>
    <sheetView view="pageBreakPreview" topLeftCell="A4" zoomScaleNormal="100" zoomScaleSheetLayoutView="100" workbookViewId="0">
      <selection activeCell="M37" sqref="M37:P37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37"/>
      <c r="B2" s="37"/>
      <c r="C2" s="37"/>
      <c r="D2" s="38" t="s">
        <v>27</v>
      </c>
      <c r="E2" s="38"/>
      <c r="F2" s="38"/>
      <c r="G2" s="38"/>
      <c r="H2" s="38"/>
      <c r="I2" s="38"/>
      <c r="J2" s="38"/>
      <c r="K2" s="38"/>
      <c r="L2" s="38"/>
      <c r="M2" s="39" t="s">
        <v>26</v>
      </c>
      <c r="N2" s="39"/>
      <c r="O2" s="39"/>
      <c r="P2" s="39"/>
      <c r="Q2" s="10"/>
    </row>
    <row r="3" spans="1:25" ht="22.15" customHeight="1" x14ac:dyDescent="0.25">
      <c r="A3" s="37"/>
      <c r="B3" s="37"/>
      <c r="C3" s="37"/>
      <c r="D3" s="38"/>
      <c r="E3" s="38"/>
      <c r="F3" s="38"/>
      <c r="G3" s="38"/>
      <c r="H3" s="38"/>
      <c r="I3" s="38"/>
      <c r="J3" s="38"/>
      <c r="K3" s="38"/>
      <c r="L3" s="38"/>
      <c r="M3" s="39"/>
      <c r="N3" s="39"/>
      <c r="O3" s="39"/>
      <c r="P3" s="39"/>
      <c r="Q3" s="10"/>
    </row>
    <row r="4" spans="1:25" ht="17.45" customHeight="1" x14ac:dyDescent="0.25">
      <c r="A4" s="40"/>
      <c r="B4" s="40"/>
      <c r="C4" s="40"/>
      <c r="D4" s="41" t="s">
        <v>21</v>
      </c>
      <c r="E4" s="41"/>
      <c r="F4" s="41"/>
      <c r="G4" s="41"/>
      <c r="H4" s="41"/>
      <c r="I4" s="41"/>
      <c r="J4" s="41"/>
      <c r="K4" s="41"/>
      <c r="L4" s="41"/>
      <c r="M4" s="11"/>
    </row>
    <row r="5" spans="1:25" ht="22.15" customHeight="1" thickBot="1" x14ac:dyDescent="0.35">
      <c r="A5" s="42"/>
      <c r="B5" s="42"/>
      <c r="C5" s="1"/>
      <c r="D5" s="43" t="s">
        <v>89</v>
      </c>
      <c r="E5" s="43"/>
      <c r="F5" s="43"/>
      <c r="G5" s="43"/>
      <c r="H5" s="43"/>
      <c r="I5" s="43"/>
      <c r="J5" s="43"/>
      <c r="K5" s="43"/>
      <c r="L5" s="43"/>
      <c r="M5" s="2"/>
      <c r="N5" s="37"/>
      <c r="O5" s="37"/>
      <c r="P5" s="37"/>
    </row>
    <row r="6" spans="1:25" ht="15.6" customHeight="1" thickBot="1" x14ac:dyDescent="0.35">
      <c r="A6" s="71" t="s">
        <v>9</v>
      </c>
      <c r="B6" s="72"/>
      <c r="C6" s="73" t="s">
        <v>118</v>
      </c>
      <c r="D6" s="73"/>
      <c r="E6" s="73"/>
      <c r="F6" s="74"/>
      <c r="G6" s="2"/>
      <c r="H6" s="75" t="s">
        <v>4</v>
      </c>
      <c r="I6" s="76"/>
      <c r="J6" s="76"/>
      <c r="K6" s="8" t="s">
        <v>7</v>
      </c>
      <c r="L6" s="77" t="s">
        <v>281</v>
      </c>
      <c r="M6" s="77"/>
      <c r="N6" s="77"/>
      <c r="O6" s="77"/>
      <c r="P6" s="78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52" t="s">
        <v>5</v>
      </c>
      <c r="I7" s="53"/>
      <c r="J7" s="53"/>
      <c r="K7" s="9" t="s">
        <v>7</v>
      </c>
      <c r="L7" s="79">
        <v>45687</v>
      </c>
      <c r="M7" s="79"/>
      <c r="N7" s="79"/>
      <c r="O7" s="79"/>
      <c r="P7" s="80"/>
      <c r="R7" s="28">
        <v>1</v>
      </c>
      <c r="S7" s="28" t="s">
        <v>39</v>
      </c>
      <c r="T7" s="29" t="s">
        <v>33</v>
      </c>
      <c r="U7" s="17" t="s">
        <v>29</v>
      </c>
      <c r="V7" s="44" t="s">
        <v>47</v>
      </c>
      <c r="W7" t="s">
        <v>54</v>
      </c>
    </row>
    <row r="8" spans="1:25" ht="18" customHeight="1" x14ac:dyDescent="0.3">
      <c r="A8" s="46" t="s">
        <v>192</v>
      </c>
      <c r="B8" s="47"/>
      <c r="C8" s="47"/>
      <c r="D8" s="47"/>
      <c r="E8" s="47"/>
      <c r="F8" s="48"/>
      <c r="G8" s="2"/>
      <c r="H8" s="52" t="s">
        <v>8</v>
      </c>
      <c r="I8" s="53"/>
      <c r="J8" s="53"/>
      <c r="K8" s="9" t="s">
        <v>7</v>
      </c>
      <c r="L8" s="54" t="s">
        <v>29</v>
      </c>
      <c r="M8" s="54"/>
      <c r="N8" s="54"/>
      <c r="O8" s="54"/>
      <c r="P8" s="55"/>
      <c r="R8" s="28">
        <v>2</v>
      </c>
      <c r="S8" s="28" t="s">
        <v>40</v>
      </c>
      <c r="T8" s="29" t="s">
        <v>99</v>
      </c>
      <c r="U8" s="17" t="s">
        <v>30</v>
      </c>
      <c r="V8" s="45"/>
      <c r="W8" t="s">
        <v>55</v>
      </c>
    </row>
    <row r="9" spans="1:25" ht="17.45" customHeight="1" x14ac:dyDescent="0.3">
      <c r="A9" s="46"/>
      <c r="B9" s="47"/>
      <c r="C9" s="47"/>
      <c r="D9" s="47"/>
      <c r="E9" s="47"/>
      <c r="F9" s="48"/>
      <c r="G9" s="2"/>
      <c r="H9" s="56" t="s">
        <v>6</v>
      </c>
      <c r="I9" s="57"/>
      <c r="J9" s="57"/>
      <c r="K9" s="62" t="s">
        <v>7</v>
      </c>
      <c r="L9" s="65" t="s">
        <v>52</v>
      </c>
      <c r="M9" s="65"/>
      <c r="N9" s="65"/>
      <c r="O9" s="65"/>
      <c r="P9" s="66"/>
      <c r="R9" s="28">
        <v>3</v>
      </c>
      <c r="S9" s="28" t="s">
        <v>41</v>
      </c>
      <c r="T9" s="29" t="s">
        <v>100</v>
      </c>
      <c r="U9" s="17" t="s">
        <v>31</v>
      </c>
      <c r="V9" s="45"/>
      <c r="W9" t="s">
        <v>56</v>
      </c>
    </row>
    <row r="10" spans="1:25" ht="18" customHeight="1" thickBot="1" x14ac:dyDescent="0.35">
      <c r="A10" s="49"/>
      <c r="B10" s="50"/>
      <c r="C10" s="50"/>
      <c r="D10" s="50"/>
      <c r="E10" s="50"/>
      <c r="F10" s="51"/>
      <c r="G10" s="2"/>
      <c r="H10" s="58"/>
      <c r="I10" s="59"/>
      <c r="J10" s="59"/>
      <c r="K10" s="63"/>
      <c r="L10" s="67"/>
      <c r="M10" s="67"/>
      <c r="N10" s="67"/>
      <c r="O10" s="67"/>
      <c r="P10" s="68"/>
      <c r="R10" s="28">
        <v>4</v>
      </c>
      <c r="S10" s="28" t="s">
        <v>42</v>
      </c>
      <c r="T10" s="30" t="s">
        <v>34</v>
      </c>
      <c r="U10" s="17"/>
      <c r="V10" s="44" t="s">
        <v>48</v>
      </c>
      <c r="W10" t="s">
        <v>57</v>
      </c>
    </row>
    <row r="11" spans="1:25" ht="18" customHeight="1" thickBot="1" x14ac:dyDescent="0.35">
      <c r="A11" s="42"/>
      <c r="B11" s="42"/>
      <c r="C11" s="1"/>
      <c r="D11" s="2"/>
      <c r="E11" s="2"/>
      <c r="F11" s="2"/>
      <c r="G11" s="2"/>
      <c r="H11" s="60"/>
      <c r="I11" s="61"/>
      <c r="J11" s="61"/>
      <c r="K11" s="64"/>
      <c r="L11" s="69"/>
      <c r="M11" s="69"/>
      <c r="N11" s="69"/>
      <c r="O11" s="69"/>
      <c r="P11" s="70"/>
      <c r="R11" s="28">
        <v>5</v>
      </c>
      <c r="S11" s="28" t="s">
        <v>43</v>
      </c>
      <c r="T11" s="30" t="s">
        <v>35</v>
      </c>
      <c r="U11" s="17"/>
      <c r="V11" s="45"/>
      <c r="W11" t="s">
        <v>58</v>
      </c>
    </row>
    <row r="12" spans="1:25" ht="16.149999999999999" customHeight="1" x14ac:dyDescent="0.25">
      <c r="A12" s="103" t="s">
        <v>12</v>
      </c>
      <c r="B12" s="104"/>
      <c r="C12" s="105" t="s">
        <v>0</v>
      </c>
      <c r="D12" s="105"/>
      <c r="E12" s="105"/>
      <c r="F12" s="105"/>
      <c r="G12" s="105"/>
      <c r="H12" s="81" t="s">
        <v>1</v>
      </c>
      <c r="I12" s="82"/>
      <c r="J12" s="82"/>
      <c r="K12" s="82"/>
      <c r="L12" s="83"/>
      <c r="M12" s="84" t="s">
        <v>16</v>
      </c>
      <c r="N12" s="85"/>
      <c r="O12" s="86"/>
      <c r="P12" s="93" t="s">
        <v>3</v>
      </c>
      <c r="R12" s="28">
        <v>6</v>
      </c>
      <c r="S12" s="28" t="s">
        <v>44</v>
      </c>
      <c r="T12" s="30" t="s">
        <v>36</v>
      </c>
      <c r="U12" s="17"/>
      <c r="V12" s="45"/>
      <c r="W12" t="s">
        <v>67</v>
      </c>
    </row>
    <row r="13" spans="1:25" ht="16.149999999999999" customHeight="1" x14ac:dyDescent="0.25">
      <c r="A13" s="3" t="s">
        <v>13</v>
      </c>
      <c r="B13" s="33">
        <v>1</v>
      </c>
      <c r="C13" s="96" t="s">
        <v>14</v>
      </c>
      <c r="D13" s="96"/>
      <c r="E13" s="96"/>
      <c r="F13" s="96"/>
      <c r="G13" s="96"/>
      <c r="H13" s="97" t="s">
        <v>2</v>
      </c>
      <c r="I13" s="98"/>
      <c r="J13" s="99"/>
      <c r="K13" s="97" t="s">
        <v>15</v>
      </c>
      <c r="L13" s="99"/>
      <c r="M13" s="87"/>
      <c r="N13" s="88"/>
      <c r="O13" s="89"/>
      <c r="P13" s="94"/>
      <c r="R13" s="28">
        <v>7</v>
      </c>
      <c r="S13" s="28" t="s">
        <v>45</v>
      </c>
      <c r="T13" s="30" t="s">
        <v>37</v>
      </c>
      <c r="U13" s="12"/>
      <c r="V13" s="44" t="s">
        <v>49</v>
      </c>
      <c r="W13" t="s">
        <v>59</v>
      </c>
    </row>
    <row r="14" spans="1:25" ht="16.149999999999999" customHeight="1" thickBot="1" x14ac:dyDescent="0.3">
      <c r="A14" s="113" t="s">
        <v>11</v>
      </c>
      <c r="B14" s="114"/>
      <c r="C14" s="115" t="s">
        <v>66</v>
      </c>
      <c r="D14" s="116"/>
      <c r="E14" s="117" t="s">
        <v>88</v>
      </c>
      <c r="F14" s="118"/>
      <c r="G14" s="114"/>
      <c r="H14" s="100"/>
      <c r="I14" s="101"/>
      <c r="J14" s="102"/>
      <c r="K14" s="100"/>
      <c r="L14" s="102"/>
      <c r="M14" s="90"/>
      <c r="N14" s="91"/>
      <c r="O14" s="92"/>
      <c r="P14" s="95"/>
      <c r="R14" s="28">
        <v>8</v>
      </c>
      <c r="S14" s="28" t="s">
        <v>46</v>
      </c>
      <c r="T14" s="30" t="s">
        <v>38</v>
      </c>
      <c r="U14" s="12"/>
      <c r="V14" s="45"/>
      <c r="W14" t="s">
        <v>60</v>
      </c>
    </row>
    <row r="15" spans="1:25" ht="25.15" customHeight="1" x14ac:dyDescent="0.25">
      <c r="A15" s="31"/>
      <c r="B15" s="119" t="s">
        <v>220</v>
      </c>
      <c r="C15" s="119"/>
      <c r="D15" s="119"/>
      <c r="E15" s="119"/>
      <c r="F15" s="119"/>
      <c r="G15" s="119"/>
      <c r="H15" s="120">
        <v>16</v>
      </c>
      <c r="I15" s="121"/>
      <c r="J15" s="122"/>
      <c r="K15" s="123">
        <v>1123</v>
      </c>
      <c r="L15" s="124"/>
      <c r="M15" s="106" t="s">
        <v>198</v>
      </c>
      <c r="N15" s="107"/>
      <c r="O15" s="108"/>
      <c r="P15" s="34" t="s">
        <v>279</v>
      </c>
      <c r="R15" s="28">
        <v>9</v>
      </c>
      <c r="S15" s="28" t="s">
        <v>96</v>
      </c>
      <c r="T15" s="30" t="s">
        <v>93</v>
      </c>
      <c r="U15" s="12"/>
      <c r="V15" s="45"/>
      <c r="W15" t="s">
        <v>61</v>
      </c>
    </row>
    <row r="16" spans="1:25" ht="25.15" customHeight="1" x14ac:dyDescent="0.25">
      <c r="A16" s="32"/>
      <c r="B16" s="109" t="s">
        <v>221</v>
      </c>
      <c r="C16" s="109"/>
      <c r="D16" s="109"/>
      <c r="E16" s="109"/>
      <c r="F16" s="109"/>
      <c r="G16" s="109"/>
      <c r="H16" s="110">
        <v>1</v>
      </c>
      <c r="I16" s="110"/>
      <c r="J16" s="110"/>
      <c r="K16" s="111">
        <v>68</v>
      </c>
      <c r="L16" s="111"/>
      <c r="M16" s="112" t="s">
        <v>196</v>
      </c>
      <c r="N16" s="112"/>
      <c r="O16" s="112"/>
      <c r="P16" s="35" t="s">
        <v>280</v>
      </c>
      <c r="R16" s="28">
        <v>10</v>
      </c>
      <c r="S16" s="28" t="s">
        <v>98</v>
      </c>
      <c r="T16" s="30" t="s">
        <v>94</v>
      </c>
      <c r="U16" s="12"/>
      <c r="V16" s="44" t="s">
        <v>50</v>
      </c>
      <c r="W16" t="s">
        <v>62</v>
      </c>
    </row>
    <row r="17" spans="1:23" ht="25.15" customHeight="1" x14ac:dyDescent="0.25">
      <c r="A17" s="32"/>
      <c r="B17" s="109" t="s">
        <v>130</v>
      </c>
      <c r="C17" s="109"/>
      <c r="D17" s="109"/>
      <c r="E17" s="109"/>
      <c r="F17" s="109"/>
      <c r="G17" s="109"/>
      <c r="H17" s="110">
        <v>16</v>
      </c>
      <c r="I17" s="110"/>
      <c r="J17" s="110"/>
      <c r="K17" s="111">
        <v>1196</v>
      </c>
      <c r="L17" s="111"/>
      <c r="M17" s="112" t="s">
        <v>200</v>
      </c>
      <c r="N17" s="112"/>
      <c r="O17" s="112"/>
      <c r="P17" s="35"/>
      <c r="R17" s="28">
        <v>11</v>
      </c>
      <c r="S17" s="28" t="s">
        <v>97</v>
      </c>
      <c r="T17" s="30" t="s">
        <v>95</v>
      </c>
      <c r="U17" s="12"/>
      <c r="V17" s="45"/>
      <c r="W17" t="s">
        <v>63</v>
      </c>
    </row>
    <row r="18" spans="1:23" ht="25.15" customHeight="1" x14ac:dyDescent="0.25">
      <c r="A18" s="32"/>
      <c r="B18" s="109" t="s">
        <v>183</v>
      </c>
      <c r="C18" s="109"/>
      <c r="D18" s="109"/>
      <c r="E18" s="109"/>
      <c r="F18" s="109"/>
      <c r="G18" s="109"/>
      <c r="H18" s="110">
        <v>8</v>
      </c>
      <c r="I18" s="110"/>
      <c r="J18" s="110"/>
      <c r="K18" s="111">
        <v>382</v>
      </c>
      <c r="L18" s="111"/>
      <c r="M18" s="112" t="s">
        <v>201</v>
      </c>
      <c r="N18" s="112"/>
      <c r="O18" s="112"/>
      <c r="P18" s="35"/>
      <c r="R18" s="28">
        <v>12</v>
      </c>
      <c r="S18" s="28" t="s">
        <v>101</v>
      </c>
      <c r="T18" s="30" t="s">
        <v>102</v>
      </c>
      <c r="U18" s="12"/>
      <c r="V18" s="45"/>
      <c r="W18" t="s">
        <v>64</v>
      </c>
    </row>
    <row r="19" spans="1:23" ht="25.15" customHeight="1" x14ac:dyDescent="0.25">
      <c r="A19" s="32"/>
      <c r="B19" s="109" t="s">
        <v>184</v>
      </c>
      <c r="C19" s="109"/>
      <c r="D19" s="109"/>
      <c r="E19" s="109"/>
      <c r="F19" s="109"/>
      <c r="G19" s="109"/>
      <c r="H19" s="110">
        <v>7</v>
      </c>
      <c r="I19" s="110"/>
      <c r="J19" s="110"/>
      <c r="K19" s="111">
        <v>290</v>
      </c>
      <c r="L19" s="111"/>
      <c r="M19" s="112" t="s">
        <v>201</v>
      </c>
      <c r="N19" s="112"/>
      <c r="O19" s="112"/>
      <c r="P19" s="35"/>
      <c r="R19" s="28">
        <v>13</v>
      </c>
      <c r="S19" s="28" t="s">
        <v>104</v>
      </c>
      <c r="T19" s="30" t="s">
        <v>103</v>
      </c>
      <c r="U19" s="12"/>
      <c r="V19" s="44" t="s">
        <v>51</v>
      </c>
      <c r="W19" t="s">
        <v>65</v>
      </c>
    </row>
    <row r="20" spans="1:23" ht="25.15" customHeight="1" x14ac:dyDescent="0.25">
      <c r="A20" s="32"/>
      <c r="B20" s="109" t="s">
        <v>185</v>
      </c>
      <c r="C20" s="109"/>
      <c r="D20" s="109"/>
      <c r="E20" s="109"/>
      <c r="F20" s="109"/>
      <c r="G20" s="109"/>
      <c r="H20" s="110">
        <v>3</v>
      </c>
      <c r="I20" s="110"/>
      <c r="J20" s="110"/>
      <c r="K20" s="111">
        <v>100</v>
      </c>
      <c r="L20" s="111"/>
      <c r="M20" s="125" t="s">
        <v>201</v>
      </c>
      <c r="N20" s="112"/>
      <c r="O20" s="112"/>
      <c r="P20" s="35"/>
      <c r="R20" s="28">
        <v>14</v>
      </c>
      <c r="S20" s="28" t="s">
        <v>105</v>
      </c>
      <c r="T20" s="30" t="s">
        <v>106</v>
      </c>
      <c r="U20" s="12"/>
      <c r="V20" s="45"/>
      <c r="W20" t="s">
        <v>66</v>
      </c>
    </row>
    <row r="21" spans="1:23" ht="25.15" customHeight="1" x14ac:dyDescent="0.25">
      <c r="A21" s="32"/>
      <c r="B21" s="109" t="s">
        <v>126</v>
      </c>
      <c r="C21" s="109"/>
      <c r="D21" s="109"/>
      <c r="E21" s="109"/>
      <c r="F21" s="109"/>
      <c r="G21" s="109"/>
      <c r="H21" s="110">
        <v>3</v>
      </c>
      <c r="I21" s="110"/>
      <c r="J21" s="110"/>
      <c r="K21" s="111">
        <v>189</v>
      </c>
      <c r="L21" s="111"/>
      <c r="M21" s="112" t="s">
        <v>194</v>
      </c>
      <c r="N21" s="112"/>
      <c r="O21" s="112"/>
      <c r="P21" s="35"/>
      <c r="R21" s="28">
        <v>15</v>
      </c>
      <c r="S21" s="28" t="s">
        <v>108</v>
      </c>
      <c r="T21" s="30" t="s">
        <v>107</v>
      </c>
      <c r="U21" s="12"/>
      <c r="V21" s="45"/>
      <c r="W21" t="s">
        <v>68</v>
      </c>
    </row>
    <row r="22" spans="1:23" ht="25.15" customHeight="1" x14ac:dyDescent="0.25">
      <c r="A22" s="32"/>
      <c r="B22" s="109" t="s">
        <v>189</v>
      </c>
      <c r="C22" s="109"/>
      <c r="D22" s="109"/>
      <c r="E22" s="109"/>
      <c r="F22" s="109"/>
      <c r="G22" s="109"/>
      <c r="H22" s="110">
        <v>7</v>
      </c>
      <c r="I22" s="110"/>
      <c r="J22" s="110"/>
      <c r="K22" s="111">
        <v>280</v>
      </c>
      <c r="L22" s="111"/>
      <c r="M22" s="112" t="s">
        <v>201</v>
      </c>
      <c r="N22" s="112"/>
      <c r="O22" s="112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09" t="s">
        <v>222</v>
      </c>
      <c r="C23" s="109"/>
      <c r="D23" s="109"/>
      <c r="E23" s="109"/>
      <c r="F23" s="109"/>
      <c r="G23" s="109"/>
      <c r="H23" s="110">
        <v>9</v>
      </c>
      <c r="I23" s="110"/>
      <c r="J23" s="110"/>
      <c r="K23" s="111">
        <v>635</v>
      </c>
      <c r="L23" s="111"/>
      <c r="M23" s="112" t="s">
        <v>198</v>
      </c>
      <c r="N23" s="112"/>
      <c r="O23" s="112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09" t="s">
        <v>191</v>
      </c>
      <c r="C24" s="109"/>
      <c r="D24" s="109"/>
      <c r="E24" s="109"/>
      <c r="F24" s="109"/>
      <c r="G24" s="109"/>
      <c r="H24" s="110">
        <v>20</v>
      </c>
      <c r="I24" s="110"/>
      <c r="J24" s="110"/>
      <c r="K24" s="111">
        <v>1317</v>
      </c>
      <c r="L24" s="111"/>
      <c r="M24" s="112" t="s">
        <v>201</v>
      </c>
      <c r="N24" s="112"/>
      <c r="O24" s="112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09" t="s">
        <v>223</v>
      </c>
      <c r="C25" s="109"/>
      <c r="D25" s="109"/>
      <c r="E25" s="109"/>
      <c r="F25" s="109"/>
      <c r="G25" s="109"/>
      <c r="H25" s="110">
        <v>41</v>
      </c>
      <c r="I25" s="110"/>
      <c r="J25" s="110"/>
      <c r="K25" s="111">
        <v>2143</v>
      </c>
      <c r="L25" s="111"/>
      <c r="M25" s="112" t="s">
        <v>198</v>
      </c>
      <c r="N25" s="112"/>
      <c r="O25" s="112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09" t="s">
        <v>224</v>
      </c>
      <c r="C26" s="109"/>
      <c r="D26" s="109"/>
      <c r="E26" s="109"/>
      <c r="F26" s="109"/>
      <c r="G26" s="109"/>
      <c r="H26" s="110">
        <v>18</v>
      </c>
      <c r="I26" s="110"/>
      <c r="J26" s="110"/>
      <c r="K26" s="111">
        <v>892</v>
      </c>
      <c r="L26" s="111"/>
      <c r="M26" s="112" t="s">
        <v>198</v>
      </c>
      <c r="N26" s="112"/>
      <c r="O26" s="112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09" t="s">
        <v>225</v>
      </c>
      <c r="C27" s="109"/>
      <c r="D27" s="109"/>
      <c r="E27" s="109"/>
      <c r="F27" s="109"/>
      <c r="G27" s="109"/>
      <c r="H27" s="110">
        <v>18</v>
      </c>
      <c r="I27" s="110"/>
      <c r="J27" s="110"/>
      <c r="K27" s="111">
        <v>1998</v>
      </c>
      <c r="L27" s="111"/>
      <c r="M27" s="112" t="s">
        <v>200</v>
      </c>
      <c r="N27" s="112"/>
      <c r="O27" s="112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09" t="s">
        <v>226</v>
      </c>
      <c r="C28" s="109"/>
      <c r="D28" s="109"/>
      <c r="E28" s="109"/>
      <c r="F28" s="109"/>
      <c r="G28" s="109"/>
      <c r="H28" s="110">
        <v>18</v>
      </c>
      <c r="I28" s="110"/>
      <c r="J28" s="110"/>
      <c r="K28" s="111">
        <v>1987</v>
      </c>
      <c r="L28" s="111"/>
      <c r="M28" s="112" t="s">
        <v>200</v>
      </c>
      <c r="N28" s="112"/>
      <c r="O28" s="112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09" t="s">
        <v>137</v>
      </c>
      <c r="C29" s="109"/>
      <c r="D29" s="109"/>
      <c r="E29" s="109"/>
      <c r="F29" s="109"/>
      <c r="G29" s="109"/>
      <c r="H29" s="110">
        <v>13</v>
      </c>
      <c r="I29" s="110"/>
      <c r="J29" s="110"/>
      <c r="K29" s="111">
        <v>669</v>
      </c>
      <c r="L29" s="111"/>
      <c r="M29" s="112" t="s">
        <v>200</v>
      </c>
      <c r="N29" s="112"/>
      <c r="O29" s="112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09" t="s">
        <v>140</v>
      </c>
      <c r="C30" s="109"/>
      <c r="D30" s="109"/>
      <c r="E30" s="109"/>
      <c r="F30" s="109"/>
      <c r="G30" s="109"/>
      <c r="H30" s="110">
        <v>14</v>
      </c>
      <c r="I30" s="110"/>
      <c r="J30" s="110"/>
      <c r="K30" s="111">
        <v>695</v>
      </c>
      <c r="L30" s="111"/>
      <c r="M30" s="112" t="s">
        <v>194</v>
      </c>
      <c r="N30" s="112"/>
      <c r="O30" s="112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09" t="s">
        <v>227</v>
      </c>
      <c r="C31" s="109"/>
      <c r="D31" s="109"/>
      <c r="E31" s="109"/>
      <c r="F31" s="109"/>
      <c r="G31" s="109"/>
      <c r="H31" s="110">
        <v>5</v>
      </c>
      <c r="I31" s="110"/>
      <c r="J31" s="110"/>
      <c r="K31" s="111">
        <v>253</v>
      </c>
      <c r="L31" s="111"/>
      <c r="M31" s="112" t="s">
        <v>219</v>
      </c>
      <c r="N31" s="112"/>
      <c r="O31" s="112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09" t="s">
        <v>144</v>
      </c>
      <c r="C32" s="109"/>
      <c r="D32" s="109"/>
      <c r="E32" s="109"/>
      <c r="F32" s="109"/>
      <c r="G32" s="109"/>
      <c r="H32" s="110">
        <v>7</v>
      </c>
      <c r="I32" s="110"/>
      <c r="J32" s="110"/>
      <c r="K32" s="111">
        <v>264</v>
      </c>
      <c r="L32" s="111"/>
      <c r="M32" s="112" t="s">
        <v>194</v>
      </c>
      <c r="N32" s="112"/>
      <c r="O32" s="112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09" t="s">
        <v>228</v>
      </c>
      <c r="C33" s="109"/>
      <c r="D33" s="109"/>
      <c r="E33" s="109"/>
      <c r="F33" s="109"/>
      <c r="G33" s="109"/>
      <c r="H33" s="110">
        <v>4</v>
      </c>
      <c r="I33" s="110"/>
      <c r="J33" s="110"/>
      <c r="K33" s="111">
        <v>152</v>
      </c>
      <c r="L33" s="111"/>
      <c r="M33" s="112" t="s">
        <v>219</v>
      </c>
      <c r="N33" s="112"/>
      <c r="O33" s="112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09" t="s">
        <v>187</v>
      </c>
      <c r="C34" s="109"/>
      <c r="D34" s="109"/>
      <c r="E34" s="109"/>
      <c r="F34" s="109"/>
      <c r="G34" s="109"/>
      <c r="H34" s="110">
        <v>4</v>
      </c>
      <c r="I34" s="110"/>
      <c r="J34" s="110"/>
      <c r="K34" s="111">
        <v>170</v>
      </c>
      <c r="L34" s="111"/>
      <c r="M34" s="112" t="s">
        <v>201</v>
      </c>
      <c r="N34" s="112"/>
      <c r="O34" s="112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26" t="s">
        <v>17</v>
      </c>
      <c r="B35" s="127"/>
      <c r="C35" s="127"/>
      <c r="D35" s="127"/>
      <c r="E35" s="127"/>
      <c r="F35" s="127"/>
      <c r="G35" s="116"/>
      <c r="H35" s="128">
        <f>SUM(H15:J34)</f>
        <v>232</v>
      </c>
      <c r="I35" s="129"/>
      <c r="J35" s="130"/>
      <c r="K35" s="131">
        <f>SUM(K15:L34)</f>
        <v>14803</v>
      </c>
      <c r="L35" s="132"/>
      <c r="M35" s="133"/>
      <c r="N35" s="134"/>
      <c r="O35" s="135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37" t="s">
        <v>22</v>
      </c>
      <c r="B37" s="138"/>
      <c r="C37" s="138"/>
      <c r="D37" s="139" t="s">
        <v>285</v>
      </c>
      <c r="E37" s="139"/>
      <c r="F37" s="139"/>
      <c r="G37" s="138" t="s">
        <v>23</v>
      </c>
      <c r="H37" s="138"/>
      <c r="I37" s="138"/>
      <c r="J37" s="138"/>
      <c r="K37" s="138"/>
      <c r="L37" s="138"/>
      <c r="M37" s="140" t="s">
        <v>283</v>
      </c>
      <c r="N37" s="140"/>
      <c r="O37" s="140"/>
      <c r="P37" s="141"/>
      <c r="R37" s="23"/>
      <c r="S37" s="24"/>
      <c r="T37" s="21"/>
      <c r="W37" t="s">
        <v>84</v>
      </c>
    </row>
    <row r="38" spans="1:23" ht="31.9" customHeight="1" x14ac:dyDescent="0.25">
      <c r="A38" s="142" t="s">
        <v>24</v>
      </c>
      <c r="B38" s="143"/>
      <c r="C38" s="143"/>
      <c r="D38" s="144" t="s">
        <v>284</v>
      </c>
      <c r="E38" s="144"/>
      <c r="F38" s="144"/>
      <c r="G38" s="143" t="s">
        <v>25</v>
      </c>
      <c r="H38" s="143"/>
      <c r="I38" s="143"/>
      <c r="J38" s="143"/>
      <c r="K38" s="143"/>
      <c r="L38" s="143"/>
      <c r="M38" s="145" t="s">
        <v>282</v>
      </c>
      <c r="N38" s="145"/>
      <c r="O38" s="145"/>
      <c r="P38" s="146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36" t="s">
        <v>18</v>
      </c>
      <c r="B40" s="136"/>
      <c r="C40" s="136"/>
      <c r="D40" s="4"/>
      <c r="E40" s="4"/>
      <c r="F40" s="136" t="s">
        <v>19</v>
      </c>
      <c r="G40" s="136"/>
      <c r="H40" s="36"/>
      <c r="I40" s="36"/>
      <c r="J40" s="36"/>
      <c r="K40" s="4"/>
      <c r="L40" s="136" t="s">
        <v>20</v>
      </c>
      <c r="M40" s="136"/>
      <c r="N40" s="136"/>
      <c r="O40" s="136"/>
      <c r="P40" s="136"/>
      <c r="W40" t="s">
        <v>87</v>
      </c>
    </row>
    <row r="41" spans="1:23" ht="8.25" customHeight="1" x14ac:dyDescent="0.25"/>
    <row r="42" spans="1:23" ht="36.75" customHeight="1" x14ac:dyDescent="0.25">
      <c r="A42" s="37"/>
      <c r="B42" s="37"/>
      <c r="C42" s="37"/>
      <c r="D42" s="38" t="s">
        <v>27</v>
      </c>
      <c r="E42" s="38"/>
      <c r="F42" s="38"/>
      <c r="G42" s="38"/>
      <c r="H42" s="38"/>
      <c r="I42" s="38"/>
      <c r="J42" s="38"/>
      <c r="K42" s="38"/>
      <c r="L42" s="38"/>
      <c r="M42" s="39" t="str">
        <f>M2</f>
        <v>FORM STR 03
REVISION NO 01</v>
      </c>
      <c r="N42" s="39"/>
      <c r="O42" s="39"/>
      <c r="P42" s="39"/>
      <c r="Q42" s="10"/>
      <c r="W42" t="s">
        <v>111</v>
      </c>
    </row>
    <row r="43" spans="1:23" ht="22.15" customHeight="1" x14ac:dyDescent="0.25">
      <c r="A43" s="37"/>
      <c r="B43" s="37"/>
      <c r="C43" s="37"/>
      <c r="D43" s="38"/>
      <c r="E43" s="38"/>
      <c r="F43" s="38"/>
      <c r="G43" s="38"/>
      <c r="H43" s="38"/>
      <c r="I43" s="38"/>
      <c r="J43" s="38"/>
      <c r="K43" s="38"/>
      <c r="L43" s="38"/>
      <c r="M43" s="39"/>
      <c r="N43" s="39"/>
      <c r="O43" s="39"/>
      <c r="P43" s="39"/>
      <c r="Q43" s="10"/>
    </row>
    <row r="44" spans="1:23" ht="17.45" customHeight="1" x14ac:dyDescent="0.25">
      <c r="A44" s="40"/>
      <c r="B44" s="40"/>
      <c r="C44" s="40"/>
      <c r="D44" s="41" t="s">
        <v>21</v>
      </c>
      <c r="E44" s="41"/>
      <c r="F44" s="41"/>
      <c r="G44" s="41"/>
      <c r="H44" s="41"/>
      <c r="I44" s="41"/>
      <c r="J44" s="41"/>
      <c r="K44" s="41"/>
      <c r="L44" s="41"/>
      <c r="M44" s="11"/>
    </row>
    <row r="45" spans="1:23" ht="22.15" customHeight="1" thickBot="1" x14ac:dyDescent="0.35">
      <c r="A45" s="42"/>
      <c r="B45" s="42"/>
      <c r="C45" s="1"/>
      <c r="D45" s="43" t="s">
        <v>90</v>
      </c>
      <c r="E45" s="43"/>
      <c r="F45" s="43"/>
      <c r="G45" s="43"/>
      <c r="H45" s="43"/>
      <c r="I45" s="43"/>
      <c r="J45" s="43"/>
      <c r="K45" s="43"/>
      <c r="L45" s="43"/>
      <c r="M45" s="2"/>
      <c r="N45" s="37"/>
      <c r="O45" s="37"/>
      <c r="P45" s="37"/>
    </row>
    <row r="46" spans="1:23" ht="15.6" customHeight="1" thickBot="1" x14ac:dyDescent="0.35">
      <c r="A46" s="71" t="s">
        <v>9</v>
      </c>
      <c r="B46" s="72"/>
      <c r="C46" s="73" t="str">
        <f>C6</f>
        <v>O543</v>
      </c>
      <c r="D46" s="73"/>
      <c r="E46" s="73"/>
      <c r="F46" s="74"/>
      <c r="G46" s="2"/>
      <c r="H46" s="75" t="s">
        <v>4</v>
      </c>
      <c r="I46" s="76"/>
      <c r="J46" s="76"/>
      <c r="K46" s="8" t="s">
        <v>7</v>
      </c>
      <c r="L46" s="77" t="str">
        <f>L6</f>
        <v>JP 523805</v>
      </c>
      <c r="M46" s="77"/>
      <c r="N46" s="77"/>
      <c r="O46" s="77"/>
      <c r="P46" s="78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52" t="s">
        <v>5</v>
      </c>
      <c r="I47" s="53"/>
      <c r="J47" s="53"/>
      <c r="K47" s="9" t="s">
        <v>7</v>
      </c>
      <c r="L47" s="79">
        <f>L7</f>
        <v>45687</v>
      </c>
      <c r="M47" s="79"/>
      <c r="N47" s="79"/>
      <c r="O47" s="79"/>
      <c r="P47" s="80"/>
      <c r="R47" s="88"/>
      <c r="S47" s="88"/>
      <c r="T47" s="147"/>
      <c r="U47" s="26"/>
      <c r="V47" s="147"/>
    </row>
    <row r="48" spans="1:23" ht="18" customHeight="1" x14ac:dyDescent="0.3">
      <c r="A48" s="46" t="str">
        <f>A8</f>
        <v>Summit Alliance Port Limited (OCL).
Katghar, North Patenga, Chitagong.</v>
      </c>
      <c r="B48" s="47"/>
      <c r="C48" s="47"/>
      <c r="D48" s="47"/>
      <c r="E48" s="47"/>
      <c r="F48" s="48"/>
      <c r="G48" s="2"/>
      <c r="H48" s="52" t="s">
        <v>8</v>
      </c>
      <c r="I48" s="53"/>
      <c r="J48" s="53"/>
      <c r="K48" s="9" t="s">
        <v>7</v>
      </c>
      <c r="L48" s="54" t="str">
        <f>L8</f>
        <v>SEA</v>
      </c>
      <c r="M48" s="54"/>
      <c r="N48" s="54"/>
      <c r="O48" s="54"/>
      <c r="P48" s="55"/>
      <c r="R48" s="88"/>
      <c r="S48" s="88"/>
      <c r="T48" s="148"/>
      <c r="U48" s="26"/>
      <c r="V48" s="148"/>
    </row>
    <row r="49" spans="1:22" ht="17.45" customHeight="1" x14ac:dyDescent="0.3">
      <c r="A49" s="46"/>
      <c r="B49" s="47"/>
      <c r="C49" s="47"/>
      <c r="D49" s="47"/>
      <c r="E49" s="47"/>
      <c r="F49" s="48"/>
      <c r="G49" s="2"/>
      <c r="H49" s="56" t="s">
        <v>6</v>
      </c>
      <c r="I49" s="57"/>
      <c r="J49" s="57"/>
      <c r="K49" s="62" t="s">
        <v>7</v>
      </c>
      <c r="L49" s="65" t="str">
        <f>L9</f>
        <v>M/S. Kabir &amp; Co.
1104DT Road West Madarbari,
Chattogram, Bangladesh.</v>
      </c>
      <c r="M49" s="65"/>
      <c r="N49" s="65"/>
      <c r="O49" s="65"/>
      <c r="P49" s="66"/>
      <c r="R49" s="88"/>
      <c r="S49" s="88"/>
      <c r="T49" s="148"/>
      <c r="U49" s="26"/>
      <c r="V49" s="148"/>
    </row>
    <row r="50" spans="1:22" ht="18" thickBot="1" x14ac:dyDescent="0.35">
      <c r="A50" s="49"/>
      <c r="B50" s="50"/>
      <c r="C50" s="50"/>
      <c r="D50" s="50"/>
      <c r="E50" s="50"/>
      <c r="F50" s="51"/>
      <c r="G50" s="2"/>
      <c r="H50" s="58"/>
      <c r="I50" s="59"/>
      <c r="J50" s="59"/>
      <c r="K50" s="63"/>
      <c r="L50" s="67"/>
      <c r="M50" s="67"/>
      <c r="N50" s="67"/>
      <c r="O50" s="67"/>
      <c r="P50" s="68"/>
      <c r="R50" s="88"/>
      <c r="S50" s="88"/>
      <c r="T50" s="147"/>
      <c r="U50" s="26"/>
      <c r="V50" s="147"/>
    </row>
    <row r="51" spans="1:22" ht="18" customHeight="1" thickBot="1" x14ac:dyDescent="0.35">
      <c r="A51" s="42"/>
      <c r="B51" s="42"/>
      <c r="C51" s="1"/>
      <c r="D51" s="2"/>
      <c r="E51" s="2"/>
      <c r="F51" s="2"/>
      <c r="G51" s="2"/>
      <c r="H51" s="60"/>
      <c r="I51" s="61"/>
      <c r="J51" s="61"/>
      <c r="K51" s="64"/>
      <c r="L51" s="69"/>
      <c r="M51" s="69"/>
      <c r="N51" s="69"/>
      <c r="O51" s="69"/>
      <c r="P51" s="70"/>
      <c r="R51" s="88"/>
      <c r="S51" s="88"/>
      <c r="T51" s="147"/>
      <c r="U51" s="26"/>
      <c r="V51" s="148"/>
    </row>
    <row r="52" spans="1:22" ht="16.149999999999999" customHeight="1" x14ac:dyDescent="0.25">
      <c r="A52" s="103" t="s">
        <v>12</v>
      </c>
      <c r="B52" s="104"/>
      <c r="C52" s="105" t="s">
        <v>0</v>
      </c>
      <c r="D52" s="105"/>
      <c r="E52" s="105"/>
      <c r="F52" s="105"/>
      <c r="G52" s="105"/>
      <c r="H52" s="81" t="s">
        <v>1</v>
      </c>
      <c r="I52" s="82"/>
      <c r="J52" s="82"/>
      <c r="K52" s="82"/>
      <c r="L52" s="83"/>
      <c r="M52" s="84" t="s">
        <v>16</v>
      </c>
      <c r="N52" s="85"/>
      <c r="O52" s="86"/>
      <c r="P52" s="93" t="s">
        <v>3</v>
      </c>
      <c r="R52" s="88"/>
      <c r="S52" s="88"/>
      <c r="T52" s="147"/>
      <c r="U52" s="26"/>
      <c r="V52" s="148"/>
    </row>
    <row r="53" spans="1:22" ht="16.149999999999999" customHeight="1" x14ac:dyDescent="0.25">
      <c r="A53" s="3" t="s">
        <v>13</v>
      </c>
      <c r="B53" s="33">
        <f>B13</f>
        <v>1</v>
      </c>
      <c r="C53" s="96" t="str">
        <f>C13</f>
        <v>Delivery of Readymade Garments</v>
      </c>
      <c r="D53" s="96"/>
      <c r="E53" s="96"/>
      <c r="F53" s="96"/>
      <c r="G53" s="96"/>
      <c r="H53" s="97" t="s">
        <v>2</v>
      </c>
      <c r="I53" s="98"/>
      <c r="J53" s="99"/>
      <c r="K53" s="97" t="s">
        <v>15</v>
      </c>
      <c r="L53" s="99"/>
      <c r="M53" s="87"/>
      <c r="N53" s="88"/>
      <c r="O53" s="89"/>
      <c r="P53" s="94"/>
      <c r="R53" s="88"/>
      <c r="S53" s="88"/>
      <c r="T53" s="147"/>
      <c r="V53" s="147"/>
    </row>
    <row r="54" spans="1:22" ht="16.149999999999999" customHeight="1" thickBot="1" x14ac:dyDescent="0.3">
      <c r="A54" s="113" t="s">
        <v>11</v>
      </c>
      <c r="B54" s="114"/>
      <c r="C54" s="115" t="str">
        <f>C14</f>
        <v>H &amp; M</v>
      </c>
      <c r="D54" s="116"/>
      <c r="E54" s="117" t="s">
        <v>88</v>
      </c>
      <c r="F54" s="118"/>
      <c r="G54" s="114"/>
      <c r="H54" s="100"/>
      <c r="I54" s="101"/>
      <c r="J54" s="102"/>
      <c r="K54" s="100"/>
      <c r="L54" s="102"/>
      <c r="M54" s="90"/>
      <c r="N54" s="91"/>
      <c r="O54" s="92"/>
      <c r="P54" s="95"/>
      <c r="R54" s="88"/>
      <c r="S54" s="88"/>
      <c r="T54" s="147"/>
      <c r="V54" s="148"/>
    </row>
    <row r="55" spans="1:22" ht="25.15" customHeight="1" x14ac:dyDescent="0.25">
      <c r="A55" s="31">
        <f>A15</f>
        <v>0</v>
      </c>
      <c r="B55" s="119" t="str">
        <f>B15</f>
        <v>316252-5832</v>
      </c>
      <c r="C55" s="119"/>
      <c r="D55" s="119"/>
      <c r="E55" s="119"/>
      <c r="F55" s="119"/>
      <c r="G55" s="119"/>
      <c r="H55" s="120">
        <f>H15</f>
        <v>16</v>
      </c>
      <c r="I55" s="121"/>
      <c r="J55" s="122"/>
      <c r="K55" s="123">
        <f>K15</f>
        <v>1123</v>
      </c>
      <c r="L55" s="124"/>
      <c r="M55" s="106" t="str">
        <f>M15</f>
        <v>CA</v>
      </c>
      <c r="N55" s="107"/>
      <c r="O55" s="108"/>
      <c r="P55" s="35" t="str">
        <f>P15</f>
        <v>EMPTY CTN</v>
      </c>
      <c r="R55" s="88"/>
      <c r="S55" s="88"/>
      <c r="T55" s="147"/>
      <c r="V55" s="148"/>
    </row>
    <row r="56" spans="1:22" ht="25.15" customHeight="1" x14ac:dyDescent="0.25">
      <c r="A56" s="32">
        <f>A16</f>
        <v>0</v>
      </c>
      <c r="B56" s="109" t="str">
        <f>B16</f>
        <v>983067-5832</v>
      </c>
      <c r="C56" s="109"/>
      <c r="D56" s="109"/>
      <c r="E56" s="109"/>
      <c r="F56" s="109"/>
      <c r="G56" s="109"/>
      <c r="H56" s="110">
        <f>H16</f>
        <v>1</v>
      </c>
      <c r="I56" s="110"/>
      <c r="J56" s="110"/>
      <c r="K56" s="111">
        <f>K16</f>
        <v>68</v>
      </c>
      <c r="L56" s="111"/>
      <c r="M56" s="112" t="str">
        <f t="shared" ref="M56:M74" si="0">M16</f>
        <v>UY</v>
      </c>
      <c r="N56" s="112"/>
      <c r="O56" s="112"/>
      <c r="P56" s="35" t="str">
        <f>P16</f>
        <v>10 PS</v>
      </c>
      <c r="R56" s="88"/>
      <c r="S56" s="88"/>
      <c r="T56" s="67"/>
      <c r="V56" s="147"/>
    </row>
    <row r="57" spans="1:22" ht="25.15" customHeight="1" x14ac:dyDescent="0.25">
      <c r="A57" s="32">
        <f t="shared" ref="A57:B72" si="1">A17</f>
        <v>0</v>
      </c>
      <c r="B57" s="109" t="str">
        <f t="shared" si="1"/>
        <v>300635-5832</v>
      </c>
      <c r="C57" s="109"/>
      <c r="D57" s="109"/>
      <c r="E57" s="109"/>
      <c r="F57" s="109"/>
      <c r="G57" s="109"/>
      <c r="H57" s="110">
        <f>H17</f>
        <v>16</v>
      </c>
      <c r="I57" s="110"/>
      <c r="J57" s="110"/>
      <c r="K57" s="111">
        <f>K17</f>
        <v>1196</v>
      </c>
      <c r="L57" s="111"/>
      <c r="M57" s="112" t="str">
        <f t="shared" si="0"/>
        <v>IN</v>
      </c>
      <c r="N57" s="112"/>
      <c r="O57" s="112"/>
      <c r="P57" s="35">
        <f t="shared" ref="P57:P74" si="2">P17</f>
        <v>0</v>
      </c>
      <c r="R57" s="88"/>
      <c r="S57" s="88"/>
      <c r="T57" s="67"/>
      <c r="V57" s="148"/>
    </row>
    <row r="58" spans="1:22" ht="25.15" customHeight="1" x14ac:dyDescent="0.25">
      <c r="A58" s="32">
        <f t="shared" si="1"/>
        <v>0</v>
      </c>
      <c r="B58" s="109" t="str">
        <f t="shared" si="1"/>
        <v>328562-7952</v>
      </c>
      <c r="C58" s="109"/>
      <c r="D58" s="109"/>
      <c r="E58" s="109"/>
      <c r="F58" s="109"/>
      <c r="G58" s="109"/>
      <c r="H58" s="110">
        <f t="shared" ref="H58:H74" si="3">H18</f>
        <v>8</v>
      </c>
      <c r="I58" s="110"/>
      <c r="J58" s="110"/>
      <c r="K58" s="111">
        <f t="shared" ref="K58:K74" si="4">K18</f>
        <v>382</v>
      </c>
      <c r="L58" s="111"/>
      <c r="M58" s="112" t="str">
        <f t="shared" si="0"/>
        <v>OEW174</v>
      </c>
      <c r="N58" s="112"/>
      <c r="O58" s="112"/>
      <c r="P58" s="35">
        <f t="shared" si="2"/>
        <v>0</v>
      </c>
      <c r="R58" s="88"/>
      <c r="S58" s="88"/>
      <c r="T58" s="67"/>
      <c r="V58" s="148"/>
    </row>
    <row r="59" spans="1:22" ht="25.15" customHeight="1" x14ac:dyDescent="0.25">
      <c r="A59" s="32">
        <f t="shared" si="1"/>
        <v>0</v>
      </c>
      <c r="B59" s="109" t="str">
        <f t="shared" si="1"/>
        <v>321334-5828</v>
      </c>
      <c r="C59" s="109"/>
      <c r="D59" s="109"/>
      <c r="E59" s="109"/>
      <c r="F59" s="109"/>
      <c r="G59" s="109"/>
      <c r="H59" s="110">
        <f t="shared" si="3"/>
        <v>7</v>
      </c>
      <c r="I59" s="110"/>
      <c r="J59" s="110"/>
      <c r="K59" s="111">
        <f t="shared" si="4"/>
        <v>290</v>
      </c>
      <c r="L59" s="111"/>
      <c r="M59" s="112" t="str">
        <f t="shared" si="0"/>
        <v>OEW174</v>
      </c>
      <c r="N59" s="112"/>
      <c r="O59" s="112"/>
      <c r="P59" s="35">
        <f t="shared" si="2"/>
        <v>0</v>
      </c>
      <c r="R59" s="88"/>
      <c r="S59" s="88"/>
      <c r="T59" s="67"/>
      <c r="V59" s="147"/>
    </row>
    <row r="60" spans="1:22" ht="25.15" customHeight="1" x14ac:dyDescent="0.25">
      <c r="A60" s="32">
        <f t="shared" si="1"/>
        <v>0</v>
      </c>
      <c r="B60" s="109" t="str">
        <f t="shared" si="1"/>
        <v>311047-5828</v>
      </c>
      <c r="C60" s="109"/>
      <c r="D60" s="109"/>
      <c r="E60" s="109"/>
      <c r="F60" s="109"/>
      <c r="G60" s="109"/>
      <c r="H60" s="110">
        <f t="shared" si="3"/>
        <v>3</v>
      </c>
      <c r="I60" s="110"/>
      <c r="J60" s="110"/>
      <c r="K60" s="111">
        <f t="shared" si="4"/>
        <v>100</v>
      </c>
      <c r="L60" s="111"/>
      <c r="M60" s="112" t="str">
        <f t="shared" si="0"/>
        <v>OEW174</v>
      </c>
      <c r="N60" s="112"/>
      <c r="O60" s="112"/>
      <c r="P60" s="35">
        <f t="shared" si="2"/>
        <v>0</v>
      </c>
      <c r="R60" s="88"/>
      <c r="S60" s="88"/>
      <c r="T60" s="67"/>
      <c r="V60" s="148"/>
    </row>
    <row r="61" spans="1:22" ht="25.15" customHeight="1" x14ac:dyDescent="0.25">
      <c r="A61" s="32">
        <f t="shared" si="1"/>
        <v>0</v>
      </c>
      <c r="B61" s="109" t="str">
        <f t="shared" si="1"/>
        <v>307355-5832</v>
      </c>
      <c r="C61" s="109"/>
      <c r="D61" s="109"/>
      <c r="E61" s="109"/>
      <c r="F61" s="109"/>
      <c r="G61" s="109"/>
      <c r="H61" s="110">
        <f t="shared" si="3"/>
        <v>3</v>
      </c>
      <c r="I61" s="110"/>
      <c r="J61" s="110"/>
      <c r="K61" s="111">
        <f t="shared" si="4"/>
        <v>189</v>
      </c>
      <c r="L61" s="111"/>
      <c r="M61" s="112" t="str">
        <f t="shared" si="0"/>
        <v>OIW243,OIW404</v>
      </c>
      <c r="N61" s="112"/>
      <c r="O61" s="112"/>
      <c r="P61" s="35">
        <f t="shared" si="2"/>
        <v>0</v>
      </c>
      <c r="R61" s="88"/>
      <c r="S61" s="88"/>
      <c r="T61" s="67"/>
      <c r="V61" s="148"/>
    </row>
    <row r="62" spans="1:22" ht="25.15" customHeight="1" x14ac:dyDescent="0.25">
      <c r="A62" s="32">
        <f t="shared" si="1"/>
        <v>0</v>
      </c>
      <c r="B62" s="109" t="str">
        <f t="shared" si="1"/>
        <v>309643-5832</v>
      </c>
      <c r="C62" s="109"/>
      <c r="D62" s="109"/>
      <c r="E62" s="109"/>
      <c r="F62" s="109"/>
      <c r="G62" s="109"/>
      <c r="H62" s="110">
        <f t="shared" si="3"/>
        <v>7</v>
      </c>
      <c r="I62" s="110"/>
      <c r="J62" s="110"/>
      <c r="K62" s="111">
        <f t="shared" si="4"/>
        <v>280</v>
      </c>
      <c r="L62" s="111"/>
      <c r="M62" s="112" t="str">
        <f t="shared" si="0"/>
        <v>OEW174</v>
      </c>
      <c r="N62" s="112"/>
      <c r="O62" s="112"/>
      <c r="P62" s="35">
        <f t="shared" si="2"/>
        <v>0</v>
      </c>
      <c r="R62" s="88"/>
      <c r="S62" s="88"/>
      <c r="T62" s="67"/>
    </row>
    <row r="63" spans="1:22" ht="25.15" customHeight="1" x14ac:dyDescent="0.25">
      <c r="A63" s="32">
        <f t="shared" si="1"/>
        <v>0</v>
      </c>
      <c r="B63" s="109" t="str">
        <f t="shared" si="1"/>
        <v>306973-5828</v>
      </c>
      <c r="C63" s="109"/>
      <c r="D63" s="109"/>
      <c r="E63" s="109"/>
      <c r="F63" s="109"/>
      <c r="G63" s="109"/>
      <c r="H63" s="110">
        <f t="shared" si="3"/>
        <v>9</v>
      </c>
      <c r="I63" s="110"/>
      <c r="J63" s="110"/>
      <c r="K63" s="111">
        <f t="shared" si="4"/>
        <v>635</v>
      </c>
      <c r="L63" s="111"/>
      <c r="M63" s="112" t="str">
        <f t="shared" si="0"/>
        <v>CA</v>
      </c>
      <c r="N63" s="112"/>
      <c r="O63" s="112"/>
      <c r="P63" s="35">
        <f t="shared" si="2"/>
        <v>0</v>
      </c>
      <c r="R63" s="88"/>
      <c r="S63" s="88"/>
      <c r="T63" s="67"/>
    </row>
    <row r="64" spans="1:22" ht="25.15" customHeight="1" x14ac:dyDescent="0.25">
      <c r="A64" s="32">
        <f t="shared" si="1"/>
        <v>0</v>
      </c>
      <c r="B64" s="109" t="str">
        <f t="shared" si="1"/>
        <v>325378-5832</v>
      </c>
      <c r="C64" s="109"/>
      <c r="D64" s="109"/>
      <c r="E64" s="109"/>
      <c r="F64" s="109"/>
      <c r="G64" s="109"/>
      <c r="H64" s="110">
        <f t="shared" si="3"/>
        <v>20</v>
      </c>
      <c r="I64" s="110"/>
      <c r="J64" s="110"/>
      <c r="K64" s="111">
        <f t="shared" si="4"/>
        <v>1317</v>
      </c>
      <c r="L64" s="111"/>
      <c r="M64" s="112" t="str">
        <f t="shared" si="0"/>
        <v>OEW174</v>
      </c>
      <c r="N64" s="112"/>
      <c r="O64" s="112"/>
      <c r="P64" s="35">
        <f t="shared" si="2"/>
        <v>0</v>
      </c>
      <c r="R64" s="88"/>
      <c r="S64" s="88"/>
      <c r="T64" s="67"/>
    </row>
    <row r="65" spans="1:20" ht="25.15" customHeight="1" x14ac:dyDescent="0.25">
      <c r="A65" s="32">
        <f t="shared" si="1"/>
        <v>0</v>
      </c>
      <c r="B65" s="109" t="str">
        <f t="shared" si="1"/>
        <v>297321-5828</v>
      </c>
      <c r="C65" s="109"/>
      <c r="D65" s="109"/>
      <c r="E65" s="109"/>
      <c r="F65" s="109"/>
      <c r="G65" s="109"/>
      <c r="H65" s="110">
        <f t="shared" si="3"/>
        <v>41</v>
      </c>
      <c r="I65" s="110"/>
      <c r="J65" s="110"/>
      <c r="K65" s="111">
        <f t="shared" si="4"/>
        <v>2143</v>
      </c>
      <c r="L65" s="111"/>
      <c r="M65" s="112" t="str">
        <f t="shared" si="0"/>
        <v>CA</v>
      </c>
      <c r="N65" s="112"/>
      <c r="O65" s="112"/>
      <c r="P65" s="35">
        <f t="shared" si="2"/>
        <v>0</v>
      </c>
      <c r="R65" s="88"/>
      <c r="S65" s="88"/>
      <c r="T65" s="67"/>
    </row>
    <row r="66" spans="1:20" ht="25.15" customHeight="1" x14ac:dyDescent="0.25">
      <c r="A66" s="32">
        <f t="shared" si="1"/>
        <v>0</v>
      </c>
      <c r="B66" s="109" t="str">
        <f t="shared" si="1"/>
        <v>297318-5828</v>
      </c>
      <c r="C66" s="109"/>
      <c r="D66" s="109"/>
      <c r="E66" s="109"/>
      <c r="F66" s="109"/>
      <c r="G66" s="109"/>
      <c r="H66" s="110">
        <f t="shared" si="3"/>
        <v>18</v>
      </c>
      <c r="I66" s="110"/>
      <c r="J66" s="110"/>
      <c r="K66" s="111">
        <f t="shared" si="4"/>
        <v>892</v>
      </c>
      <c r="L66" s="111"/>
      <c r="M66" s="112" t="str">
        <f t="shared" si="0"/>
        <v>CA</v>
      </c>
      <c r="N66" s="112"/>
      <c r="O66" s="112"/>
      <c r="P66" s="35">
        <f t="shared" si="2"/>
        <v>0</v>
      </c>
      <c r="R66" s="88"/>
      <c r="S66" s="88"/>
      <c r="T66" s="67"/>
    </row>
    <row r="67" spans="1:20" ht="25.15" customHeight="1" x14ac:dyDescent="0.25">
      <c r="A67" s="32">
        <f t="shared" si="1"/>
        <v>0</v>
      </c>
      <c r="B67" s="109" t="str">
        <f t="shared" si="1"/>
        <v>325706-5832</v>
      </c>
      <c r="C67" s="109"/>
      <c r="D67" s="109"/>
      <c r="E67" s="109"/>
      <c r="F67" s="109"/>
      <c r="G67" s="109"/>
      <c r="H67" s="110">
        <f t="shared" si="3"/>
        <v>18</v>
      </c>
      <c r="I67" s="110"/>
      <c r="J67" s="110"/>
      <c r="K67" s="111">
        <f t="shared" si="4"/>
        <v>1998</v>
      </c>
      <c r="L67" s="111"/>
      <c r="M67" s="112" t="str">
        <f t="shared" si="0"/>
        <v>IN</v>
      </c>
      <c r="N67" s="112"/>
      <c r="O67" s="112"/>
      <c r="P67" s="35">
        <f t="shared" si="2"/>
        <v>0</v>
      </c>
      <c r="R67" s="88"/>
      <c r="S67" s="88"/>
      <c r="T67" s="67"/>
    </row>
    <row r="68" spans="1:20" ht="25.15" customHeight="1" x14ac:dyDescent="0.25">
      <c r="A68" s="32">
        <f t="shared" si="1"/>
        <v>0</v>
      </c>
      <c r="B68" s="109" t="str">
        <f t="shared" si="1"/>
        <v>325696-5832</v>
      </c>
      <c r="C68" s="109"/>
      <c r="D68" s="109"/>
      <c r="E68" s="109"/>
      <c r="F68" s="109"/>
      <c r="G68" s="109"/>
      <c r="H68" s="110">
        <f t="shared" si="3"/>
        <v>18</v>
      </c>
      <c r="I68" s="110"/>
      <c r="J68" s="110"/>
      <c r="K68" s="111">
        <f t="shared" si="4"/>
        <v>1987</v>
      </c>
      <c r="L68" s="111"/>
      <c r="M68" s="112" t="str">
        <f t="shared" si="0"/>
        <v>IN</v>
      </c>
      <c r="N68" s="112"/>
      <c r="O68" s="112"/>
      <c r="P68" s="35">
        <f t="shared" si="2"/>
        <v>0</v>
      </c>
      <c r="R68" s="88"/>
      <c r="S68" s="88"/>
      <c r="T68" s="67"/>
    </row>
    <row r="69" spans="1:20" ht="25.15" customHeight="1" x14ac:dyDescent="0.25">
      <c r="A69" s="32">
        <f t="shared" si="1"/>
        <v>0</v>
      </c>
      <c r="B69" s="109" t="str">
        <f t="shared" si="1"/>
        <v>304153-7272</v>
      </c>
      <c r="C69" s="109"/>
      <c r="D69" s="109"/>
      <c r="E69" s="109"/>
      <c r="F69" s="109"/>
      <c r="G69" s="109"/>
      <c r="H69" s="110">
        <f t="shared" si="3"/>
        <v>13</v>
      </c>
      <c r="I69" s="110"/>
      <c r="J69" s="110"/>
      <c r="K69" s="111">
        <f t="shared" si="4"/>
        <v>669</v>
      </c>
      <c r="L69" s="111"/>
      <c r="M69" s="112" t="str">
        <f t="shared" si="0"/>
        <v>IN</v>
      </c>
      <c r="N69" s="112"/>
      <c r="O69" s="112"/>
      <c r="P69" s="35">
        <f t="shared" si="2"/>
        <v>0</v>
      </c>
      <c r="R69" s="88"/>
      <c r="S69" s="88"/>
      <c r="T69" s="67"/>
    </row>
    <row r="70" spans="1:20" ht="25.15" customHeight="1" x14ac:dyDescent="0.25">
      <c r="A70" s="32">
        <f t="shared" si="1"/>
        <v>0</v>
      </c>
      <c r="B70" s="109" t="str">
        <f t="shared" si="1"/>
        <v>291816-5832</v>
      </c>
      <c r="C70" s="109"/>
      <c r="D70" s="109"/>
      <c r="E70" s="109"/>
      <c r="F70" s="109"/>
      <c r="G70" s="109"/>
      <c r="H70" s="110">
        <f t="shared" si="3"/>
        <v>14</v>
      </c>
      <c r="I70" s="110"/>
      <c r="J70" s="110"/>
      <c r="K70" s="111">
        <f t="shared" si="4"/>
        <v>695</v>
      </c>
      <c r="L70" s="111"/>
      <c r="M70" s="112" t="str">
        <f t="shared" si="0"/>
        <v>OIW243,OIW404</v>
      </c>
      <c r="N70" s="112"/>
      <c r="O70" s="112"/>
      <c r="P70" s="35">
        <f t="shared" si="2"/>
        <v>0</v>
      </c>
      <c r="R70" s="88"/>
      <c r="S70" s="88"/>
      <c r="T70" s="67"/>
    </row>
    <row r="71" spans="1:20" ht="25.15" customHeight="1" x14ac:dyDescent="0.25">
      <c r="A71" s="32">
        <f t="shared" si="1"/>
        <v>0</v>
      </c>
      <c r="B71" s="109" t="str">
        <f t="shared" si="1"/>
        <v>285434-5832</v>
      </c>
      <c r="C71" s="109"/>
      <c r="D71" s="109"/>
      <c r="E71" s="109"/>
      <c r="F71" s="109"/>
      <c r="G71" s="109"/>
      <c r="H71" s="110">
        <f t="shared" si="3"/>
        <v>5</v>
      </c>
      <c r="I71" s="110"/>
      <c r="J71" s="110"/>
      <c r="K71" s="111">
        <f t="shared" si="4"/>
        <v>253</v>
      </c>
      <c r="L71" s="111"/>
      <c r="M71" s="112" t="str">
        <f t="shared" si="0"/>
        <v>TW</v>
      </c>
      <c r="N71" s="112"/>
      <c r="O71" s="112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09" t="str">
        <f t="shared" si="1"/>
        <v>285445-5832</v>
      </c>
      <c r="C72" s="109"/>
      <c r="D72" s="109"/>
      <c r="E72" s="109"/>
      <c r="F72" s="109"/>
      <c r="G72" s="109"/>
      <c r="H72" s="110">
        <f t="shared" si="3"/>
        <v>7</v>
      </c>
      <c r="I72" s="110"/>
      <c r="J72" s="110"/>
      <c r="K72" s="111">
        <f t="shared" si="4"/>
        <v>264</v>
      </c>
      <c r="L72" s="111"/>
      <c r="M72" s="112" t="str">
        <f t="shared" si="0"/>
        <v>OIW243,OIW404</v>
      </c>
      <c r="N72" s="112"/>
      <c r="O72" s="112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09" t="str">
        <f t="shared" si="5"/>
        <v>285477-5832</v>
      </c>
      <c r="C73" s="109"/>
      <c r="D73" s="109"/>
      <c r="E73" s="109"/>
      <c r="F73" s="109"/>
      <c r="G73" s="109"/>
      <c r="H73" s="110">
        <f t="shared" si="3"/>
        <v>4</v>
      </c>
      <c r="I73" s="110"/>
      <c r="J73" s="110"/>
      <c r="K73" s="111">
        <f t="shared" si="4"/>
        <v>152</v>
      </c>
      <c r="L73" s="111"/>
      <c r="M73" s="112" t="str">
        <f t="shared" si="0"/>
        <v>TW</v>
      </c>
      <c r="N73" s="112"/>
      <c r="O73" s="112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09" t="str">
        <f t="shared" si="5"/>
        <v>327483-7952</v>
      </c>
      <c r="C74" s="109"/>
      <c r="D74" s="109"/>
      <c r="E74" s="109"/>
      <c r="F74" s="109"/>
      <c r="G74" s="109"/>
      <c r="H74" s="110">
        <f t="shared" si="3"/>
        <v>4</v>
      </c>
      <c r="I74" s="110"/>
      <c r="J74" s="110"/>
      <c r="K74" s="111">
        <f t="shared" si="4"/>
        <v>170</v>
      </c>
      <c r="L74" s="111"/>
      <c r="M74" s="112" t="str">
        <f t="shared" si="0"/>
        <v>OEW174</v>
      </c>
      <c r="N74" s="112"/>
      <c r="O74" s="112"/>
      <c r="P74" s="35">
        <f t="shared" si="2"/>
        <v>0</v>
      </c>
    </row>
    <row r="75" spans="1:20" ht="21.95" customHeight="1" thickBot="1" x14ac:dyDescent="0.3">
      <c r="A75" s="126" t="s">
        <v>17</v>
      </c>
      <c r="B75" s="127"/>
      <c r="C75" s="127"/>
      <c r="D75" s="127"/>
      <c r="E75" s="127"/>
      <c r="F75" s="127"/>
      <c r="G75" s="116"/>
      <c r="H75" s="128">
        <f>SUM(H55:J74)</f>
        <v>232</v>
      </c>
      <c r="I75" s="129"/>
      <c r="J75" s="130"/>
      <c r="K75" s="131">
        <f>SUM(K55:L74)</f>
        <v>14803</v>
      </c>
      <c r="L75" s="132"/>
      <c r="M75" s="133"/>
      <c r="N75" s="134"/>
      <c r="O75" s="135"/>
      <c r="P75" s="19"/>
    </row>
    <row r="77" spans="1:20" ht="31.9" customHeight="1" x14ac:dyDescent="0.25">
      <c r="A77" s="137" t="s">
        <v>22</v>
      </c>
      <c r="B77" s="138"/>
      <c r="C77" s="138"/>
      <c r="D77" s="139" t="str">
        <f>D37</f>
        <v>MD.AMANULLA</v>
      </c>
      <c r="E77" s="139"/>
      <c r="F77" s="139"/>
      <c r="G77" s="138" t="s">
        <v>23</v>
      </c>
      <c r="H77" s="138"/>
      <c r="I77" s="138"/>
      <c r="J77" s="138"/>
      <c r="K77" s="138"/>
      <c r="L77" s="138"/>
      <c r="M77" s="140" t="str">
        <f>M37</f>
        <v>01718-019525</v>
      </c>
      <c r="N77" s="140"/>
      <c r="O77" s="140"/>
      <c r="P77" s="141"/>
    </row>
    <row r="78" spans="1:20" ht="31.9" customHeight="1" x14ac:dyDescent="0.25">
      <c r="A78" s="142" t="s">
        <v>24</v>
      </c>
      <c r="B78" s="143"/>
      <c r="C78" s="143"/>
      <c r="D78" s="144" t="str">
        <f>D38</f>
        <v>OOO1</v>
      </c>
      <c r="E78" s="144"/>
      <c r="F78" s="144"/>
      <c r="G78" s="143" t="s">
        <v>25</v>
      </c>
      <c r="H78" s="143"/>
      <c r="I78" s="143"/>
      <c r="J78" s="143"/>
      <c r="K78" s="143"/>
      <c r="L78" s="143"/>
      <c r="M78" s="145" t="str">
        <f>M38</f>
        <v>D.M.TA 20-7316</v>
      </c>
      <c r="N78" s="145"/>
      <c r="O78" s="145"/>
      <c r="P78" s="146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36" t="s">
        <v>18</v>
      </c>
      <c r="B80" s="136"/>
      <c r="C80" s="136"/>
      <c r="D80" s="4"/>
      <c r="E80" s="4"/>
      <c r="F80" s="136" t="s">
        <v>19</v>
      </c>
      <c r="G80" s="136"/>
      <c r="H80" s="36"/>
      <c r="I80" s="36"/>
      <c r="J80" s="36"/>
      <c r="K80" s="4"/>
      <c r="L80" s="136" t="s">
        <v>20</v>
      </c>
      <c r="M80" s="136"/>
      <c r="N80" s="136"/>
      <c r="O80" s="136"/>
      <c r="P80" s="136"/>
    </row>
    <row r="81" spans="1:22" ht="8.25" customHeight="1" x14ac:dyDescent="0.25"/>
    <row r="82" spans="1:22" ht="36.75" customHeight="1" x14ac:dyDescent="0.25">
      <c r="A82" s="37"/>
      <c r="B82" s="37"/>
      <c r="C82" s="37"/>
      <c r="D82" s="38" t="s">
        <v>27</v>
      </c>
      <c r="E82" s="38"/>
      <c r="F82" s="38"/>
      <c r="G82" s="38"/>
      <c r="H82" s="38"/>
      <c r="I82" s="38"/>
      <c r="J82" s="38"/>
      <c r="K82" s="38"/>
      <c r="L82" s="38"/>
      <c r="M82" s="39" t="str">
        <f>M42</f>
        <v>FORM STR 03
REVISION NO 01</v>
      </c>
      <c r="N82" s="39"/>
      <c r="O82" s="39"/>
      <c r="P82" s="39"/>
      <c r="Q82" s="10"/>
    </row>
    <row r="83" spans="1:22" ht="22.15" customHeight="1" x14ac:dyDescent="0.25">
      <c r="A83" s="37"/>
      <c r="B83" s="37"/>
      <c r="C83" s="37"/>
      <c r="D83" s="38"/>
      <c r="E83" s="38"/>
      <c r="F83" s="38"/>
      <c r="G83" s="38"/>
      <c r="H83" s="38"/>
      <c r="I83" s="38"/>
      <c r="J83" s="38"/>
      <c r="K83" s="38"/>
      <c r="L83" s="38"/>
      <c r="M83" s="39"/>
      <c r="N83" s="39"/>
      <c r="O83" s="39"/>
      <c r="P83" s="39"/>
      <c r="Q83" s="10"/>
    </row>
    <row r="84" spans="1:22" ht="17.45" customHeight="1" x14ac:dyDescent="0.25">
      <c r="A84" s="40"/>
      <c r="B84" s="40"/>
      <c r="C84" s="40"/>
      <c r="D84" s="41" t="s">
        <v>21</v>
      </c>
      <c r="E84" s="41"/>
      <c r="F84" s="41"/>
      <c r="G84" s="41"/>
      <c r="H84" s="41"/>
      <c r="I84" s="41"/>
      <c r="J84" s="41"/>
      <c r="K84" s="41"/>
      <c r="L84" s="41"/>
      <c r="M84" s="11"/>
    </row>
    <row r="85" spans="1:22" ht="22.15" customHeight="1" thickBot="1" x14ac:dyDescent="0.35">
      <c r="A85" s="42"/>
      <c r="B85" s="42"/>
      <c r="C85" s="1"/>
      <c r="D85" s="43" t="s">
        <v>91</v>
      </c>
      <c r="E85" s="43"/>
      <c r="F85" s="43"/>
      <c r="G85" s="43"/>
      <c r="H85" s="43"/>
      <c r="I85" s="43"/>
      <c r="J85" s="43"/>
      <c r="K85" s="43"/>
      <c r="L85" s="43"/>
      <c r="M85" s="2"/>
      <c r="N85" s="37"/>
      <c r="O85" s="37"/>
      <c r="P85" s="37"/>
    </row>
    <row r="86" spans="1:22" ht="15.6" customHeight="1" thickBot="1" x14ac:dyDescent="0.35">
      <c r="A86" s="71" t="s">
        <v>9</v>
      </c>
      <c r="B86" s="72"/>
      <c r="C86" s="73" t="str">
        <f>C46</f>
        <v>O543</v>
      </c>
      <c r="D86" s="73"/>
      <c r="E86" s="73"/>
      <c r="F86" s="74"/>
      <c r="G86" s="2"/>
      <c r="H86" s="75" t="s">
        <v>4</v>
      </c>
      <c r="I86" s="76"/>
      <c r="J86" s="76"/>
      <c r="K86" s="8" t="s">
        <v>7</v>
      </c>
      <c r="L86" s="77" t="str">
        <f>L46</f>
        <v>JP 523805</v>
      </c>
      <c r="M86" s="77"/>
      <c r="N86" s="77"/>
      <c r="O86" s="77"/>
      <c r="P86" s="78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52" t="s">
        <v>5</v>
      </c>
      <c r="I87" s="53"/>
      <c r="J87" s="53"/>
      <c r="K87" s="9" t="s">
        <v>7</v>
      </c>
      <c r="L87" s="79">
        <f>L47</f>
        <v>45687</v>
      </c>
      <c r="M87" s="79"/>
      <c r="N87" s="79"/>
      <c r="O87" s="79"/>
      <c r="P87" s="80"/>
      <c r="R87" s="88"/>
      <c r="S87" s="88"/>
      <c r="T87" s="147"/>
      <c r="U87" s="26"/>
      <c r="V87" s="147"/>
    </row>
    <row r="88" spans="1:22" ht="18" customHeight="1" x14ac:dyDescent="0.3">
      <c r="A88" s="46" t="str">
        <f>A48</f>
        <v>Summit Alliance Port Limited (OCL).
Katghar, North Patenga, Chitagong.</v>
      </c>
      <c r="B88" s="47"/>
      <c r="C88" s="47"/>
      <c r="D88" s="47"/>
      <c r="E88" s="47"/>
      <c r="F88" s="48"/>
      <c r="G88" s="2"/>
      <c r="H88" s="52" t="s">
        <v>8</v>
      </c>
      <c r="I88" s="53"/>
      <c r="J88" s="53"/>
      <c r="K88" s="9" t="s">
        <v>7</v>
      </c>
      <c r="L88" s="54" t="str">
        <f>L48</f>
        <v>SEA</v>
      </c>
      <c r="M88" s="54"/>
      <c r="N88" s="54"/>
      <c r="O88" s="54"/>
      <c r="P88" s="55"/>
      <c r="R88" s="88"/>
      <c r="S88" s="88"/>
      <c r="T88" s="148"/>
      <c r="U88" s="26"/>
      <c r="V88" s="148"/>
    </row>
    <row r="89" spans="1:22" ht="17.45" customHeight="1" x14ac:dyDescent="0.3">
      <c r="A89" s="46"/>
      <c r="B89" s="47"/>
      <c r="C89" s="47"/>
      <c r="D89" s="47"/>
      <c r="E89" s="47"/>
      <c r="F89" s="48"/>
      <c r="G89" s="2"/>
      <c r="H89" s="56" t="s">
        <v>6</v>
      </c>
      <c r="I89" s="57"/>
      <c r="J89" s="57"/>
      <c r="K89" s="62" t="s">
        <v>7</v>
      </c>
      <c r="L89" s="65" t="str">
        <f>L49</f>
        <v>M/S. Kabir &amp; Co.
1104DT Road West Madarbari,
Chattogram, Bangladesh.</v>
      </c>
      <c r="M89" s="65"/>
      <c r="N89" s="65"/>
      <c r="O89" s="65"/>
      <c r="P89" s="66"/>
      <c r="R89" s="88"/>
      <c r="S89" s="88"/>
      <c r="T89" s="148"/>
      <c r="U89" s="26"/>
      <c r="V89" s="148"/>
    </row>
    <row r="90" spans="1:22" ht="18" thickBot="1" x14ac:dyDescent="0.35">
      <c r="A90" s="49"/>
      <c r="B90" s="50"/>
      <c r="C90" s="50"/>
      <c r="D90" s="50"/>
      <c r="E90" s="50"/>
      <c r="F90" s="51"/>
      <c r="G90" s="2"/>
      <c r="H90" s="58"/>
      <c r="I90" s="59"/>
      <c r="J90" s="59"/>
      <c r="K90" s="63"/>
      <c r="L90" s="67"/>
      <c r="M90" s="67"/>
      <c r="N90" s="67"/>
      <c r="O90" s="67"/>
      <c r="P90" s="68"/>
      <c r="R90" s="88"/>
      <c r="S90" s="88"/>
      <c r="T90" s="147"/>
      <c r="U90" s="26"/>
      <c r="V90" s="147"/>
    </row>
    <row r="91" spans="1:22" ht="18" customHeight="1" thickBot="1" x14ac:dyDescent="0.35">
      <c r="A91" s="42"/>
      <c r="B91" s="42"/>
      <c r="C91" s="1"/>
      <c r="D91" s="2"/>
      <c r="E91" s="2"/>
      <c r="F91" s="2"/>
      <c r="G91" s="2"/>
      <c r="H91" s="60"/>
      <c r="I91" s="61"/>
      <c r="J91" s="61"/>
      <c r="K91" s="64"/>
      <c r="L91" s="69"/>
      <c r="M91" s="69"/>
      <c r="N91" s="69"/>
      <c r="O91" s="69"/>
      <c r="P91" s="70"/>
      <c r="R91" s="88"/>
      <c r="S91" s="88"/>
      <c r="T91" s="147"/>
      <c r="U91" s="26"/>
      <c r="V91" s="148"/>
    </row>
    <row r="92" spans="1:22" ht="16.149999999999999" customHeight="1" x14ac:dyDescent="0.25">
      <c r="A92" s="103" t="s">
        <v>12</v>
      </c>
      <c r="B92" s="104"/>
      <c r="C92" s="105" t="s">
        <v>0</v>
      </c>
      <c r="D92" s="105"/>
      <c r="E92" s="105"/>
      <c r="F92" s="105"/>
      <c r="G92" s="105"/>
      <c r="H92" s="81" t="s">
        <v>1</v>
      </c>
      <c r="I92" s="82"/>
      <c r="J92" s="82"/>
      <c r="K92" s="82"/>
      <c r="L92" s="83"/>
      <c r="M92" s="84" t="s">
        <v>16</v>
      </c>
      <c r="N92" s="85"/>
      <c r="O92" s="86"/>
      <c r="P92" s="93" t="s">
        <v>3</v>
      </c>
      <c r="R92" s="88"/>
      <c r="S92" s="88"/>
      <c r="T92" s="147"/>
      <c r="U92" s="26"/>
      <c r="V92" s="148"/>
    </row>
    <row r="93" spans="1:22" ht="16.149999999999999" customHeight="1" x14ac:dyDescent="0.25">
      <c r="A93" s="3" t="s">
        <v>13</v>
      </c>
      <c r="B93" s="33">
        <f>B53</f>
        <v>1</v>
      </c>
      <c r="C93" s="96" t="str">
        <f>C53</f>
        <v>Delivery of Readymade Garments</v>
      </c>
      <c r="D93" s="96"/>
      <c r="E93" s="96"/>
      <c r="F93" s="96"/>
      <c r="G93" s="96"/>
      <c r="H93" s="97" t="s">
        <v>2</v>
      </c>
      <c r="I93" s="98"/>
      <c r="J93" s="99"/>
      <c r="K93" s="97" t="s">
        <v>15</v>
      </c>
      <c r="L93" s="99"/>
      <c r="M93" s="87"/>
      <c r="N93" s="88"/>
      <c r="O93" s="89"/>
      <c r="P93" s="94"/>
      <c r="R93" s="88"/>
      <c r="S93" s="88"/>
      <c r="T93" s="147"/>
      <c r="V93" s="147"/>
    </row>
    <row r="94" spans="1:22" ht="16.149999999999999" customHeight="1" thickBot="1" x14ac:dyDescent="0.3">
      <c r="A94" s="113" t="s">
        <v>11</v>
      </c>
      <c r="B94" s="114"/>
      <c r="C94" s="115" t="str">
        <f>C54</f>
        <v>H &amp; M</v>
      </c>
      <c r="D94" s="116"/>
      <c r="E94" s="117" t="s">
        <v>88</v>
      </c>
      <c r="F94" s="118"/>
      <c r="G94" s="114"/>
      <c r="H94" s="100"/>
      <c r="I94" s="101"/>
      <c r="J94" s="102"/>
      <c r="K94" s="100"/>
      <c r="L94" s="102"/>
      <c r="M94" s="90"/>
      <c r="N94" s="91"/>
      <c r="O94" s="92"/>
      <c r="P94" s="95"/>
      <c r="R94" s="88"/>
      <c r="S94" s="88"/>
      <c r="T94" s="147"/>
      <c r="V94" s="148"/>
    </row>
    <row r="95" spans="1:22" ht="25.15" customHeight="1" x14ac:dyDescent="0.25">
      <c r="A95" s="31">
        <f>A55</f>
        <v>0</v>
      </c>
      <c r="B95" s="119" t="str">
        <f>B55</f>
        <v>316252-5832</v>
      </c>
      <c r="C95" s="119"/>
      <c r="D95" s="119"/>
      <c r="E95" s="119"/>
      <c r="F95" s="119"/>
      <c r="G95" s="119"/>
      <c r="H95" s="120">
        <f>H55</f>
        <v>16</v>
      </c>
      <c r="I95" s="121"/>
      <c r="J95" s="122"/>
      <c r="K95" s="123">
        <f>K55</f>
        <v>1123</v>
      </c>
      <c r="L95" s="124"/>
      <c r="M95" s="106" t="str">
        <f>M55</f>
        <v>CA</v>
      </c>
      <c r="N95" s="107"/>
      <c r="O95" s="108"/>
      <c r="P95" s="34" t="str">
        <f>P55</f>
        <v>EMPTY CTN</v>
      </c>
      <c r="R95" s="88"/>
      <c r="S95" s="88"/>
      <c r="T95" s="147"/>
      <c r="V95" s="148"/>
    </row>
    <row r="96" spans="1:22" ht="25.15" customHeight="1" x14ac:dyDescent="0.25">
      <c r="A96" s="32">
        <f>A56</f>
        <v>0</v>
      </c>
      <c r="B96" s="109" t="str">
        <f>B56</f>
        <v>983067-5832</v>
      </c>
      <c r="C96" s="109"/>
      <c r="D96" s="109"/>
      <c r="E96" s="109"/>
      <c r="F96" s="109"/>
      <c r="G96" s="109"/>
      <c r="H96" s="110">
        <f>H56</f>
        <v>1</v>
      </c>
      <c r="I96" s="110"/>
      <c r="J96" s="110"/>
      <c r="K96" s="111">
        <f>K56</f>
        <v>68</v>
      </c>
      <c r="L96" s="111"/>
      <c r="M96" s="112" t="str">
        <f>M56</f>
        <v>UY</v>
      </c>
      <c r="N96" s="112"/>
      <c r="O96" s="112"/>
      <c r="P96" s="35" t="str">
        <f>P56</f>
        <v>10 PS</v>
      </c>
      <c r="R96" s="88"/>
      <c r="S96" s="88"/>
      <c r="T96" s="67"/>
      <c r="V96" s="147"/>
    </row>
    <row r="97" spans="1:22" ht="25.15" customHeight="1" x14ac:dyDescent="0.25">
      <c r="A97" s="32">
        <f t="shared" ref="A97:B112" si="6">A57</f>
        <v>0</v>
      </c>
      <c r="B97" s="109" t="str">
        <f t="shared" si="6"/>
        <v>300635-5832</v>
      </c>
      <c r="C97" s="109"/>
      <c r="D97" s="109"/>
      <c r="E97" s="109"/>
      <c r="F97" s="109"/>
      <c r="G97" s="109"/>
      <c r="H97" s="110">
        <f>H57</f>
        <v>16</v>
      </c>
      <c r="I97" s="110"/>
      <c r="J97" s="110"/>
      <c r="K97" s="111">
        <f>K57</f>
        <v>1196</v>
      </c>
      <c r="L97" s="111"/>
      <c r="M97" s="112" t="str">
        <f t="shared" ref="M97:M114" si="7">M57</f>
        <v>IN</v>
      </c>
      <c r="N97" s="112"/>
      <c r="O97" s="112"/>
      <c r="P97" s="35">
        <f t="shared" ref="P97:P114" si="8">P57</f>
        <v>0</v>
      </c>
      <c r="R97" s="88"/>
      <c r="S97" s="88"/>
      <c r="T97" s="67"/>
      <c r="V97" s="148"/>
    </row>
    <row r="98" spans="1:22" ht="25.15" customHeight="1" x14ac:dyDescent="0.25">
      <c r="A98" s="32">
        <f t="shared" si="6"/>
        <v>0</v>
      </c>
      <c r="B98" s="109" t="str">
        <f t="shared" si="6"/>
        <v>328562-7952</v>
      </c>
      <c r="C98" s="109"/>
      <c r="D98" s="109"/>
      <c r="E98" s="109"/>
      <c r="F98" s="109"/>
      <c r="G98" s="109"/>
      <c r="H98" s="110">
        <f t="shared" ref="H98:H114" si="9">H58</f>
        <v>8</v>
      </c>
      <c r="I98" s="110"/>
      <c r="J98" s="110"/>
      <c r="K98" s="111">
        <f t="shared" ref="K98:K114" si="10">K58</f>
        <v>382</v>
      </c>
      <c r="L98" s="111"/>
      <c r="M98" s="112" t="str">
        <f t="shared" si="7"/>
        <v>OEW174</v>
      </c>
      <c r="N98" s="112"/>
      <c r="O98" s="112"/>
      <c r="P98" s="35">
        <f t="shared" si="8"/>
        <v>0</v>
      </c>
      <c r="R98" s="88"/>
      <c r="S98" s="88"/>
      <c r="T98" s="67"/>
      <c r="V98" s="148"/>
    </row>
    <row r="99" spans="1:22" ht="25.15" customHeight="1" x14ac:dyDescent="0.25">
      <c r="A99" s="32">
        <f t="shared" si="6"/>
        <v>0</v>
      </c>
      <c r="B99" s="109" t="str">
        <f t="shared" si="6"/>
        <v>321334-5828</v>
      </c>
      <c r="C99" s="109"/>
      <c r="D99" s="109"/>
      <c r="E99" s="109"/>
      <c r="F99" s="109"/>
      <c r="G99" s="109"/>
      <c r="H99" s="110">
        <f t="shared" si="9"/>
        <v>7</v>
      </c>
      <c r="I99" s="110"/>
      <c r="J99" s="110"/>
      <c r="K99" s="111">
        <f t="shared" si="10"/>
        <v>290</v>
      </c>
      <c r="L99" s="111"/>
      <c r="M99" s="112" t="str">
        <f t="shared" si="7"/>
        <v>OEW174</v>
      </c>
      <c r="N99" s="112"/>
      <c r="O99" s="112"/>
      <c r="P99" s="35">
        <f t="shared" si="8"/>
        <v>0</v>
      </c>
      <c r="R99" s="88"/>
      <c r="S99" s="88"/>
      <c r="T99" s="67"/>
      <c r="V99" s="147"/>
    </row>
    <row r="100" spans="1:22" ht="25.15" customHeight="1" x14ac:dyDescent="0.25">
      <c r="A100" s="32">
        <f t="shared" si="6"/>
        <v>0</v>
      </c>
      <c r="B100" s="109" t="str">
        <f t="shared" si="6"/>
        <v>311047-5828</v>
      </c>
      <c r="C100" s="109"/>
      <c r="D100" s="109"/>
      <c r="E100" s="109"/>
      <c r="F100" s="109"/>
      <c r="G100" s="109"/>
      <c r="H100" s="110">
        <f t="shared" si="9"/>
        <v>3</v>
      </c>
      <c r="I100" s="110"/>
      <c r="J100" s="110"/>
      <c r="K100" s="111">
        <f t="shared" si="10"/>
        <v>100</v>
      </c>
      <c r="L100" s="111"/>
      <c r="M100" s="112" t="str">
        <f t="shared" si="7"/>
        <v>OEW174</v>
      </c>
      <c r="N100" s="112"/>
      <c r="O100" s="112"/>
      <c r="P100" s="35">
        <f t="shared" si="8"/>
        <v>0</v>
      </c>
      <c r="R100" s="88"/>
      <c r="S100" s="88"/>
      <c r="T100" s="67"/>
      <c r="V100" s="148"/>
    </row>
    <row r="101" spans="1:22" ht="25.15" customHeight="1" x14ac:dyDescent="0.25">
      <c r="A101" s="32">
        <f t="shared" si="6"/>
        <v>0</v>
      </c>
      <c r="B101" s="109" t="str">
        <f t="shared" si="6"/>
        <v>307355-5832</v>
      </c>
      <c r="C101" s="109"/>
      <c r="D101" s="109"/>
      <c r="E101" s="109"/>
      <c r="F101" s="109"/>
      <c r="G101" s="109"/>
      <c r="H101" s="110">
        <f t="shared" si="9"/>
        <v>3</v>
      </c>
      <c r="I101" s="110"/>
      <c r="J101" s="110"/>
      <c r="K101" s="111">
        <f t="shared" si="10"/>
        <v>189</v>
      </c>
      <c r="L101" s="111"/>
      <c r="M101" s="112" t="str">
        <f t="shared" si="7"/>
        <v>OIW243,OIW404</v>
      </c>
      <c r="N101" s="112"/>
      <c r="O101" s="112"/>
      <c r="P101" s="35">
        <f t="shared" si="8"/>
        <v>0</v>
      </c>
      <c r="R101" s="88"/>
      <c r="S101" s="88"/>
      <c r="T101" s="67"/>
      <c r="V101" s="148"/>
    </row>
    <row r="102" spans="1:22" ht="25.15" customHeight="1" x14ac:dyDescent="0.25">
      <c r="A102" s="32">
        <f t="shared" si="6"/>
        <v>0</v>
      </c>
      <c r="B102" s="109" t="str">
        <f t="shared" si="6"/>
        <v>309643-5832</v>
      </c>
      <c r="C102" s="109"/>
      <c r="D102" s="109"/>
      <c r="E102" s="109"/>
      <c r="F102" s="109"/>
      <c r="G102" s="109"/>
      <c r="H102" s="110">
        <f t="shared" si="9"/>
        <v>7</v>
      </c>
      <c r="I102" s="110"/>
      <c r="J102" s="110"/>
      <c r="K102" s="111">
        <f t="shared" si="10"/>
        <v>280</v>
      </c>
      <c r="L102" s="111"/>
      <c r="M102" s="112" t="str">
        <f t="shared" si="7"/>
        <v>OEW174</v>
      </c>
      <c r="N102" s="112"/>
      <c r="O102" s="112"/>
      <c r="P102" s="35">
        <f t="shared" si="8"/>
        <v>0</v>
      </c>
      <c r="R102" s="88"/>
      <c r="S102" s="88"/>
      <c r="T102" s="67"/>
    </row>
    <row r="103" spans="1:22" ht="25.15" customHeight="1" x14ac:dyDescent="0.25">
      <c r="A103" s="32">
        <f t="shared" si="6"/>
        <v>0</v>
      </c>
      <c r="B103" s="109" t="str">
        <f t="shared" si="6"/>
        <v>306973-5828</v>
      </c>
      <c r="C103" s="109"/>
      <c r="D103" s="109"/>
      <c r="E103" s="109"/>
      <c r="F103" s="109"/>
      <c r="G103" s="109"/>
      <c r="H103" s="110">
        <f t="shared" si="9"/>
        <v>9</v>
      </c>
      <c r="I103" s="110"/>
      <c r="J103" s="110"/>
      <c r="K103" s="111">
        <f t="shared" si="10"/>
        <v>635</v>
      </c>
      <c r="L103" s="111"/>
      <c r="M103" s="112" t="str">
        <f t="shared" si="7"/>
        <v>CA</v>
      </c>
      <c r="N103" s="112"/>
      <c r="O103" s="112"/>
      <c r="P103" s="35">
        <f t="shared" si="8"/>
        <v>0</v>
      </c>
      <c r="R103" s="88"/>
      <c r="S103" s="88"/>
      <c r="T103" s="67"/>
    </row>
    <row r="104" spans="1:22" ht="25.15" customHeight="1" x14ac:dyDescent="0.25">
      <c r="A104" s="32">
        <f t="shared" si="6"/>
        <v>0</v>
      </c>
      <c r="B104" s="109" t="str">
        <f t="shared" si="6"/>
        <v>325378-5832</v>
      </c>
      <c r="C104" s="109"/>
      <c r="D104" s="109"/>
      <c r="E104" s="109"/>
      <c r="F104" s="109"/>
      <c r="G104" s="109"/>
      <c r="H104" s="110">
        <f t="shared" si="9"/>
        <v>20</v>
      </c>
      <c r="I104" s="110"/>
      <c r="J104" s="110"/>
      <c r="K104" s="111">
        <f t="shared" si="10"/>
        <v>1317</v>
      </c>
      <c r="L104" s="111"/>
      <c r="M104" s="112" t="str">
        <f t="shared" si="7"/>
        <v>OEW174</v>
      </c>
      <c r="N104" s="112"/>
      <c r="O104" s="112"/>
      <c r="P104" s="35">
        <f t="shared" si="8"/>
        <v>0</v>
      </c>
      <c r="R104" s="88"/>
      <c r="S104" s="88"/>
      <c r="T104" s="67"/>
    </row>
    <row r="105" spans="1:22" ht="25.15" customHeight="1" x14ac:dyDescent="0.25">
      <c r="A105" s="32">
        <f t="shared" si="6"/>
        <v>0</v>
      </c>
      <c r="B105" s="109" t="str">
        <f t="shared" si="6"/>
        <v>297321-5828</v>
      </c>
      <c r="C105" s="109"/>
      <c r="D105" s="109"/>
      <c r="E105" s="109"/>
      <c r="F105" s="109"/>
      <c r="G105" s="109"/>
      <c r="H105" s="110">
        <f t="shared" si="9"/>
        <v>41</v>
      </c>
      <c r="I105" s="110"/>
      <c r="J105" s="110"/>
      <c r="K105" s="111">
        <f t="shared" si="10"/>
        <v>2143</v>
      </c>
      <c r="L105" s="111"/>
      <c r="M105" s="112" t="str">
        <f t="shared" si="7"/>
        <v>CA</v>
      </c>
      <c r="N105" s="112"/>
      <c r="O105" s="112"/>
      <c r="P105" s="35">
        <f t="shared" si="8"/>
        <v>0</v>
      </c>
      <c r="R105" s="88"/>
      <c r="S105" s="88"/>
      <c r="T105" s="67"/>
    </row>
    <row r="106" spans="1:22" ht="25.15" customHeight="1" x14ac:dyDescent="0.25">
      <c r="A106" s="32">
        <f t="shared" si="6"/>
        <v>0</v>
      </c>
      <c r="B106" s="109" t="str">
        <f t="shared" si="6"/>
        <v>297318-5828</v>
      </c>
      <c r="C106" s="109"/>
      <c r="D106" s="109"/>
      <c r="E106" s="109"/>
      <c r="F106" s="109"/>
      <c r="G106" s="109"/>
      <c r="H106" s="110">
        <f t="shared" si="9"/>
        <v>18</v>
      </c>
      <c r="I106" s="110"/>
      <c r="J106" s="110"/>
      <c r="K106" s="111">
        <f t="shared" si="10"/>
        <v>892</v>
      </c>
      <c r="L106" s="111"/>
      <c r="M106" s="112" t="str">
        <f t="shared" si="7"/>
        <v>CA</v>
      </c>
      <c r="N106" s="112"/>
      <c r="O106" s="112"/>
      <c r="P106" s="35">
        <f t="shared" si="8"/>
        <v>0</v>
      </c>
      <c r="R106" s="88"/>
      <c r="S106" s="88"/>
      <c r="T106" s="67"/>
    </row>
    <row r="107" spans="1:22" ht="25.15" customHeight="1" x14ac:dyDescent="0.25">
      <c r="A107" s="32">
        <f t="shared" si="6"/>
        <v>0</v>
      </c>
      <c r="B107" s="109" t="str">
        <f t="shared" si="6"/>
        <v>325706-5832</v>
      </c>
      <c r="C107" s="109"/>
      <c r="D107" s="109"/>
      <c r="E107" s="109"/>
      <c r="F107" s="109"/>
      <c r="G107" s="109"/>
      <c r="H107" s="110">
        <f t="shared" si="9"/>
        <v>18</v>
      </c>
      <c r="I107" s="110"/>
      <c r="J107" s="110"/>
      <c r="K107" s="111">
        <f t="shared" si="10"/>
        <v>1998</v>
      </c>
      <c r="L107" s="111"/>
      <c r="M107" s="112" t="str">
        <f t="shared" si="7"/>
        <v>IN</v>
      </c>
      <c r="N107" s="112"/>
      <c r="O107" s="112"/>
      <c r="P107" s="35">
        <f t="shared" si="8"/>
        <v>0</v>
      </c>
      <c r="R107" s="88"/>
      <c r="S107" s="88"/>
      <c r="T107" s="67"/>
    </row>
    <row r="108" spans="1:22" ht="25.15" customHeight="1" x14ac:dyDescent="0.25">
      <c r="A108" s="32">
        <f t="shared" si="6"/>
        <v>0</v>
      </c>
      <c r="B108" s="109" t="str">
        <f t="shared" si="6"/>
        <v>325696-5832</v>
      </c>
      <c r="C108" s="109"/>
      <c r="D108" s="109"/>
      <c r="E108" s="109"/>
      <c r="F108" s="109"/>
      <c r="G108" s="109"/>
      <c r="H108" s="110">
        <f t="shared" si="9"/>
        <v>18</v>
      </c>
      <c r="I108" s="110"/>
      <c r="J108" s="110"/>
      <c r="K108" s="111">
        <f t="shared" si="10"/>
        <v>1987</v>
      </c>
      <c r="L108" s="111"/>
      <c r="M108" s="112" t="str">
        <f t="shared" si="7"/>
        <v>IN</v>
      </c>
      <c r="N108" s="112"/>
      <c r="O108" s="112"/>
      <c r="P108" s="35">
        <f t="shared" si="8"/>
        <v>0</v>
      </c>
      <c r="R108" s="88"/>
      <c r="S108" s="88"/>
      <c r="T108" s="67"/>
    </row>
    <row r="109" spans="1:22" ht="25.15" customHeight="1" x14ac:dyDescent="0.25">
      <c r="A109" s="32">
        <f t="shared" si="6"/>
        <v>0</v>
      </c>
      <c r="B109" s="109" t="str">
        <f t="shared" si="6"/>
        <v>304153-7272</v>
      </c>
      <c r="C109" s="109"/>
      <c r="D109" s="109"/>
      <c r="E109" s="109"/>
      <c r="F109" s="109"/>
      <c r="G109" s="109"/>
      <c r="H109" s="110">
        <f t="shared" si="9"/>
        <v>13</v>
      </c>
      <c r="I109" s="110"/>
      <c r="J109" s="110"/>
      <c r="K109" s="111">
        <f t="shared" si="10"/>
        <v>669</v>
      </c>
      <c r="L109" s="111"/>
      <c r="M109" s="112" t="str">
        <f t="shared" si="7"/>
        <v>IN</v>
      </c>
      <c r="N109" s="112"/>
      <c r="O109" s="112"/>
      <c r="P109" s="35">
        <f t="shared" si="8"/>
        <v>0</v>
      </c>
      <c r="R109" s="88"/>
      <c r="S109" s="88"/>
      <c r="T109" s="67"/>
    </row>
    <row r="110" spans="1:22" ht="25.15" customHeight="1" x14ac:dyDescent="0.25">
      <c r="A110" s="32">
        <f t="shared" si="6"/>
        <v>0</v>
      </c>
      <c r="B110" s="109" t="str">
        <f t="shared" si="6"/>
        <v>291816-5832</v>
      </c>
      <c r="C110" s="109"/>
      <c r="D110" s="109"/>
      <c r="E110" s="109"/>
      <c r="F110" s="109"/>
      <c r="G110" s="109"/>
      <c r="H110" s="110">
        <f t="shared" si="9"/>
        <v>14</v>
      </c>
      <c r="I110" s="110"/>
      <c r="J110" s="110"/>
      <c r="K110" s="111">
        <f t="shared" si="10"/>
        <v>695</v>
      </c>
      <c r="L110" s="111"/>
      <c r="M110" s="112" t="str">
        <f t="shared" si="7"/>
        <v>OIW243,OIW404</v>
      </c>
      <c r="N110" s="112"/>
      <c r="O110" s="112"/>
      <c r="P110" s="35">
        <f t="shared" si="8"/>
        <v>0</v>
      </c>
      <c r="R110" s="88"/>
      <c r="S110" s="88"/>
      <c r="T110" s="67"/>
    </row>
    <row r="111" spans="1:22" ht="25.15" customHeight="1" x14ac:dyDescent="0.25">
      <c r="A111" s="32">
        <f t="shared" si="6"/>
        <v>0</v>
      </c>
      <c r="B111" s="109" t="str">
        <f t="shared" si="6"/>
        <v>285434-5832</v>
      </c>
      <c r="C111" s="109"/>
      <c r="D111" s="109"/>
      <c r="E111" s="109"/>
      <c r="F111" s="109"/>
      <c r="G111" s="109"/>
      <c r="H111" s="110">
        <f t="shared" si="9"/>
        <v>5</v>
      </c>
      <c r="I111" s="110"/>
      <c r="J111" s="110"/>
      <c r="K111" s="111">
        <f t="shared" si="10"/>
        <v>253</v>
      </c>
      <c r="L111" s="111"/>
      <c r="M111" s="112" t="str">
        <f t="shared" si="7"/>
        <v>TW</v>
      </c>
      <c r="N111" s="112"/>
      <c r="O111" s="112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09" t="str">
        <f t="shared" si="6"/>
        <v>285445-5832</v>
      </c>
      <c r="C112" s="109"/>
      <c r="D112" s="109"/>
      <c r="E112" s="109"/>
      <c r="F112" s="109"/>
      <c r="G112" s="109"/>
      <c r="H112" s="110">
        <f t="shared" si="9"/>
        <v>7</v>
      </c>
      <c r="I112" s="110"/>
      <c r="J112" s="110"/>
      <c r="K112" s="111">
        <f t="shared" si="10"/>
        <v>264</v>
      </c>
      <c r="L112" s="111"/>
      <c r="M112" s="112" t="str">
        <f t="shared" si="7"/>
        <v>OIW243,OIW404</v>
      </c>
      <c r="N112" s="112"/>
      <c r="O112" s="112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09" t="str">
        <f t="shared" si="11"/>
        <v>285477-5832</v>
      </c>
      <c r="C113" s="109"/>
      <c r="D113" s="109"/>
      <c r="E113" s="109"/>
      <c r="F113" s="109"/>
      <c r="G113" s="109"/>
      <c r="H113" s="110">
        <f t="shared" si="9"/>
        <v>4</v>
      </c>
      <c r="I113" s="110"/>
      <c r="J113" s="110"/>
      <c r="K113" s="111">
        <f t="shared" si="10"/>
        <v>152</v>
      </c>
      <c r="L113" s="111"/>
      <c r="M113" s="112" t="str">
        <f t="shared" si="7"/>
        <v>TW</v>
      </c>
      <c r="N113" s="112"/>
      <c r="O113" s="112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09" t="str">
        <f t="shared" si="11"/>
        <v>327483-7952</v>
      </c>
      <c r="C114" s="109"/>
      <c r="D114" s="109"/>
      <c r="E114" s="109"/>
      <c r="F114" s="109"/>
      <c r="G114" s="109"/>
      <c r="H114" s="110">
        <f t="shared" si="9"/>
        <v>4</v>
      </c>
      <c r="I114" s="110"/>
      <c r="J114" s="110"/>
      <c r="K114" s="111">
        <f t="shared" si="10"/>
        <v>170</v>
      </c>
      <c r="L114" s="111"/>
      <c r="M114" s="112" t="str">
        <f t="shared" si="7"/>
        <v>OEW174</v>
      </c>
      <c r="N114" s="112"/>
      <c r="O114" s="112"/>
      <c r="P114" s="35">
        <f t="shared" si="8"/>
        <v>0</v>
      </c>
    </row>
    <row r="115" spans="1:22" ht="21.95" customHeight="1" thickBot="1" x14ac:dyDescent="0.3">
      <c r="A115" s="126" t="s">
        <v>17</v>
      </c>
      <c r="B115" s="127"/>
      <c r="C115" s="127"/>
      <c r="D115" s="127"/>
      <c r="E115" s="127"/>
      <c r="F115" s="127"/>
      <c r="G115" s="116"/>
      <c r="H115" s="128">
        <f>SUM(H95:J114)</f>
        <v>232</v>
      </c>
      <c r="I115" s="129"/>
      <c r="J115" s="130"/>
      <c r="K115" s="131">
        <f>SUM(K95:L114)</f>
        <v>14803</v>
      </c>
      <c r="L115" s="132"/>
      <c r="M115" s="133"/>
      <c r="N115" s="134"/>
      <c r="O115" s="135"/>
      <c r="P115" s="19"/>
    </row>
    <row r="117" spans="1:22" ht="31.9" customHeight="1" x14ac:dyDescent="0.25">
      <c r="A117" s="137" t="s">
        <v>22</v>
      </c>
      <c r="B117" s="138"/>
      <c r="C117" s="138"/>
      <c r="D117" s="139" t="str">
        <f>D77</f>
        <v>MD.AMANULLA</v>
      </c>
      <c r="E117" s="139"/>
      <c r="F117" s="139"/>
      <c r="G117" s="138" t="s">
        <v>23</v>
      </c>
      <c r="H117" s="138"/>
      <c r="I117" s="138"/>
      <c r="J117" s="138"/>
      <c r="K117" s="138"/>
      <c r="L117" s="138"/>
      <c r="M117" s="140" t="str">
        <f>M77</f>
        <v>01718-019525</v>
      </c>
      <c r="N117" s="140"/>
      <c r="O117" s="140"/>
      <c r="P117" s="141"/>
    </row>
    <row r="118" spans="1:22" ht="31.9" customHeight="1" x14ac:dyDescent="0.25">
      <c r="A118" s="142" t="s">
        <v>24</v>
      </c>
      <c r="B118" s="143"/>
      <c r="C118" s="143"/>
      <c r="D118" s="144" t="str">
        <f>D78</f>
        <v>OOO1</v>
      </c>
      <c r="E118" s="144"/>
      <c r="F118" s="144"/>
      <c r="G118" s="143" t="s">
        <v>25</v>
      </c>
      <c r="H118" s="143"/>
      <c r="I118" s="143"/>
      <c r="J118" s="143"/>
      <c r="K118" s="143"/>
      <c r="L118" s="143"/>
      <c r="M118" s="145" t="str">
        <f>M78</f>
        <v>D.M.TA 20-7316</v>
      </c>
      <c r="N118" s="145"/>
      <c r="O118" s="145"/>
      <c r="P118" s="146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36" t="s">
        <v>18</v>
      </c>
      <c r="B120" s="136"/>
      <c r="C120" s="136"/>
      <c r="D120" s="4"/>
      <c r="E120" s="4"/>
      <c r="F120" s="136" t="s">
        <v>19</v>
      </c>
      <c r="G120" s="136"/>
      <c r="H120" s="36"/>
      <c r="I120" s="36"/>
      <c r="J120" s="36"/>
      <c r="K120" s="4"/>
      <c r="L120" s="136" t="s">
        <v>20</v>
      </c>
      <c r="M120" s="136"/>
      <c r="N120" s="136"/>
      <c r="O120" s="136"/>
      <c r="P120" s="136"/>
    </row>
    <row r="121" spans="1:22" ht="8.25" customHeight="1" x14ac:dyDescent="0.25"/>
    <row r="122" spans="1:22" ht="36.75" customHeight="1" x14ac:dyDescent="0.25">
      <c r="A122" s="37"/>
      <c r="B122" s="37"/>
      <c r="C122" s="37"/>
      <c r="D122" s="38" t="s">
        <v>27</v>
      </c>
      <c r="E122" s="38"/>
      <c r="F122" s="38"/>
      <c r="G122" s="38"/>
      <c r="H122" s="38"/>
      <c r="I122" s="38"/>
      <c r="J122" s="38"/>
      <c r="K122" s="38"/>
      <c r="L122" s="38"/>
      <c r="M122" s="39" t="str">
        <f>M82</f>
        <v>FORM STR 03
REVISION NO 01</v>
      </c>
      <c r="N122" s="39"/>
      <c r="O122" s="39"/>
      <c r="P122" s="39"/>
      <c r="Q122" s="10"/>
    </row>
    <row r="123" spans="1:22" ht="22.15" customHeight="1" x14ac:dyDescent="0.25">
      <c r="A123" s="37"/>
      <c r="B123" s="37"/>
      <c r="C123" s="37"/>
      <c r="D123" s="38"/>
      <c r="E123" s="38"/>
      <c r="F123" s="38"/>
      <c r="G123" s="38"/>
      <c r="H123" s="38"/>
      <c r="I123" s="38"/>
      <c r="J123" s="38"/>
      <c r="K123" s="38"/>
      <c r="L123" s="38"/>
      <c r="M123" s="39"/>
      <c r="N123" s="39"/>
      <c r="O123" s="39"/>
      <c r="P123" s="39"/>
      <c r="Q123" s="10"/>
    </row>
    <row r="124" spans="1:22" ht="17.45" customHeight="1" x14ac:dyDescent="0.25">
      <c r="A124" s="40"/>
      <c r="B124" s="40"/>
      <c r="C124" s="40"/>
      <c r="D124" s="41" t="s">
        <v>21</v>
      </c>
      <c r="E124" s="41"/>
      <c r="F124" s="41"/>
      <c r="G124" s="41"/>
      <c r="H124" s="41"/>
      <c r="I124" s="41"/>
      <c r="J124" s="41"/>
      <c r="K124" s="41"/>
      <c r="L124" s="41"/>
      <c r="M124" s="11"/>
    </row>
    <row r="125" spans="1:22" ht="22.15" customHeight="1" thickBot="1" x14ac:dyDescent="0.35">
      <c r="A125" s="42"/>
      <c r="B125" s="42"/>
      <c r="C125" s="1"/>
      <c r="D125" s="43" t="s">
        <v>92</v>
      </c>
      <c r="E125" s="43"/>
      <c r="F125" s="43"/>
      <c r="G125" s="43"/>
      <c r="H125" s="43"/>
      <c r="I125" s="43"/>
      <c r="J125" s="43"/>
      <c r="K125" s="43"/>
      <c r="L125" s="43"/>
      <c r="M125" s="2"/>
      <c r="N125" s="37"/>
      <c r="O125" s="37"/>
      <c r="P125" s="37"/>
    </row>
    <row r="126" spans="1:22" ht="15.6" customHeight="1" thickBot="1" x14ac:dyDescent="0.35">
      <c r="A126" s="71" t="s">
        <v>9</v>
      </c>
      <c r="B126" s="72"/>
      <c r="C126" s="73" t="str">
        <f>C86</f>
        <v>O543</v>
      </c>
      <c r="D126" s="73"/>
      <c r="E126" s="73"/>
      <c r="F126" s="74"/>
      <c r="G126" s="2"/>
      <c r="H126" s="75" t="s">
        <v>4</v>
      </c>
      <c r="I126" s="76"/>
      <c r="J126" s="76"/>
      <c r="K126" s="8" t="s">
        <v>7</v>
      </c>
      <c r="L126" s="77" t="str">
        <f>L86</f>
        <v>JP 523805</v>
      </c>
      <c r="M126" s="77"/>
      <c r="N126" s="77"/>
      <c r="O126" s="77"/>
      <c r="P126" s="78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52" t="s">
        <v>5</v>
      </c>
      <c r="I127" s="53"/>
      <c r="J127" s="53"/>
      <c r="K127" s="9" t="s">
        <v>7</v>
      </c>
      <c r="L127" s="79">
        <f>L87</f>
        <v>45687</v>
      </c>
      <c r="M127" s="79"/>
      <c r="N127" s="79"/>
      <c r="O127" s="79"/>
      <c r="P127" s="80"/>
      <c r="R127" s="88"/>
      <c r="S127" s="88"/>
      <c r="T127" s="147"/>
      <c r="U127" s="26"/>
      <c r="V127" s="147"/>
    </row>
    <row r="128" spans="1:22" ht="18" customHeight="1" x14ac:dyDescent="0.3">
      <c r="A128" s="46" t="str">
        <f>A88</f>
        <v>Summit Alliance Port Limited (OCL).
Katghar, North Patenga, Chitagong.</v>
      </c>
      <c r="B128" s="47"/>
      <c r="C128" s="47"/>
      <c r="D128" s="47"/>
      <c r="E128" s="47"/>
      <c r="F128" s="48"/>
      <c r="G128" s="2"/>
      <c r="H128" s="52" t="s">
        <v>8</v>
      </c>
      <c r="I128" s="53"/>
      <c r="J128" s="53"/>
      <c r="K128" s="9" t="s">
        <v>7</v>
      </c>
      <c r="L128" s="54" t="str">
        <f>L88</f>
        <v>SEA</v>
      </c>
      <c r="M128" s="54"/>
      <c r="N128" s="54"/>
      <c r="O128" s="54"/>
      <c r="P128" s="55"/>
      <c r="R128" s="88"/>
      <c r="S128" s="88"/>
      <c r="T128" s="148"/>
      <c r="U128" s="26"/>
      <c r="V128" s="148"/>
    </row>
    <row r="129" spans="1:22" ht="17.25" x14ac:dyDescent="0.3">
      <c r="A129" s="46"/>
      <c r="B129" s="47"/>
      <c r="C129" s="47"/>
      <c r="D129" s="47"/>
      <c r="E129" s="47"/>
      <c r="F129" s="48"/>
      <c r="G129" s="2"/>
      <c r="H129" s="56" t="s">
        <v>6</v>
      </c>
      <c r="I129" s="57"/>
      <c r="J129" s="57"/>
      <c r="K129" s="62" t="s">
        <v>7</v>
      </c>
      <c r="L129" s="65" t="str">
        <f>L89</f>
        <v>M/S. Kabir &amp; Co.
1104DT Road West Madarbari,
Chattogram, Bangladesh.</v>
      </c>
      <c r="M129" s="65"/>
      <c r="N129" s="65"/>
      <c r="O129" s="65"/>
      <c r="P129" s="66"/>
      <c r="R129" s="88"/>
      <c r="S129" s="88"/>
      <c r="T129" s="148"/>
      <c r="U129" s="26"/>
      <c r="V129" s="148"/>
    </row>
    <row r="130" spans="1:22" ht="18" thickBot="1" x14ac:dyDescent="0.35">
      <c r="A130" s="49"/>
      <c r="B130" s="50"/>
      <c r="C130" s="50"/>
      <c r="D130" s="50"/>
      <c r="E130" s="50"/>
      <c r="F130" s="51"/>
      <c r="G130" s="2"/>
      <c r="H130" s="58"/>
      <c r="I130" s="59"/>
      <c r="J130" s="59"/>
      <c r="K130" s="63"/>
      <c r="L130" s="67"/>
      <c r="M130" s="67"/>
      <c r="N130" s="67"/>
      <c r="O130" s="67"/>
      <c r="P130" s="68"/>
      <c r="R130" s="88"/>
      <c r="S130" s="88"/>
      <c r="T130" s="147"/>
      <c r="U130" s="26"/>
      <c r="V130" s="147"/>
    </row>
    <row r="131" spans="1:22" ht="18" customHeight="1" thickBot="1" x14ac:dyDescent="0.35">
      <c r="A131" s="42"/>
      <c r="B131" s="42"/>
      <c r="C131" s="1"/>
      <c r="D131" s="2"/>
      <c r="E131" s="2"/>
      <c r="F131" s="2"/>
      <c r="G131" s="2"/>
      <c r="H131" s="60"/>
      <c r="I131" s="61"/>
      <c r="J131" s="61"/>
      <c r="K131" s="64"/>
      <c r="L131" s="69"/>
      <c r="M131" s="69"/>
      <c r="N131" s="69"/>
      <c r="O131" s="69"/>
      <c r="P131" s="70"/>
      <c r="R131" s="88"/>
      <c r="S131" s="88"/>
      <c r="T131" s="147"/>
      <c r="U131" s="26"/>
      <c r="V131" s="148"/>
    </row>
    <row r="132" spans="1:22" ht="16.149999999999999" customHeight="1" x14ac:dyDescent="0.25">
      <c r="A132" s="103" t="s">
        <v>12</v>
      </c>
      <c r="B132" s="104"/>
      <c r="C132" s="105" t="s">
        <v>0</v>
      </c>
      <c r="D132" s="105"/>
      <c r="E132" s="105"/>
      <c r="F132" s="105"/>
      <c r="G132" s="105"/>
      <c r="H132" s="81" t="s">
        <v>1</v>
      </c>
      <c r="I132" s="82"/>
      <c r="J132" s="82"/>
      <c r="K132" s="82"/>
      <c r="L132" s="83"/>
      <c r="M132" s="84" t="s">
        <v>16</v>
      </c>
      <c r="N132" s="85"/>
      <c r="O132" s="86"/>
      <c r="P132" s="149" t="s">
        <v>3</v>
      </c>
      <c r="R132" s="88"/>
      <c r="S132" s="88"/>
      <c r="T132" s="147"/>
      <c r="U132" s="26"/>
      <c r="V132" s="148"/>
    </row>
    <row r="133" spans="1:22" ht="16.149999999999999" customHeight="1" x14ac:dyDescent="0.25">
      <c r="A133" s="3" t="s">
        <v>13</v>
      </c>
      <c r="B133" s="33">
        <f>B93</f>
        <v>1</v>
      </c>
      <c r="C133" s="96" t="str">
        <f>C93</f>
        <v>Delivery of Readymade Garments</v>
      </c>
      <c r="D133" s="96"/>
      <c r="E133" s="96"/>
      <c r="F133" s="96"/>
      <c r="G133" s="96"/>
      <c r="H133" s="165" t="s">
        <v>2</v>
      </c>
      <c r="I133" s="166"/>
      <c r="J133" s="167"/>
      <c r="K133" s="165" t="s">
        <v>15</v>
      </c>
      <c r="L133" s="167"/>
      <c r="M133" s="87"/>
      <c r="N133" s="88"/>
      <c r="O133" s="89"/>
      <c r="P133" s="150"/>
      <c r="R133" s="88"/>
      <c r="S133" s="88"/>
      <c r="T133" s="147"/>
      <c r="V133" s="147"/>
    </row>
    <row r="134" spans="1:22" ht="16.149999999999999" customHeight="1" thickBot="1" x14ac:dyDescent="0.3">
      <c r="A134" s="113" t="s">
        <v>11</v>
      </c>
      <c r="B134" s="114"/>
      <c r="C134" s="115" t="str">
        <f>C94</f>
        <v>H &amp; M</v>
      </c>
      <c r="D134" s="116"/>
      <c r="E134" s="117" t="s">
        <v>88</v>
      </c>
      <c r="F134" s="118"/>
      <c r="G134" s="114"/>
      <c r="H134" s="100"/>
      <c r="I134" s="101"/>
      <c r="J134" s="102"/>
      <c r="K134" s="100"/>
      <c r="L134" s="102"/>
      <c r="M134" s="90"/>
      <c r="N134" s="91"/>
      <c r="O134" s="92"/>
      <c r="P134" s="151"/>
      <c r="R134" s="88"/>
      <c r="S134" s="88"/>
      <c r="T134" s="147"/>
      <c r="V134" s="148"/>
    </row>
    <row r="135" spans="1:22" ht="25.15" customHeight="1" x14ac:dyDescent="0.25">
      <c r="A135" s="31">
        <f>A95</f>
        <v>0</v>
      </c>
      <c r="B135" s="119" t="str">
        <f>B95</f>
        <v>316252-5832</v>
      </c>
      <c r="C135" s="119"/>
      <c r="D135" s="119"/>
      <c r="E135" s="119"/>
      <c r="F135" s="119"/>
      <c r="G135" s="119"/>
      <c r="H135" s="160">
        <f>H95</f>
        <v>16</v>
      </c>
      <c r="I135" s="161"/>
      <c r="J135" s="162"/>
      <c r="K135" s="163">
        <f>K95</f>
        <v>1123</v>
      </c>
      <c r="L135" s="164"/>
      <c r="M135" s="106" t="str">
        <f>M95</f>
        <v>CA</v>
      </c>
      <c r="N135" s="107"/>
      <c r="O135" s="108"/>
      <c r="P135" s="34" t="str">
        <f>P95</f>
        <v>EMPTY CTN</v>
      </c>
      <c r="R135" s="88"/>
      <c r="S135" s="88"/>
      <c r="T135" s="147"/>
      <c r="V135" s="148"/>
    </row>
    <row r="136" spans="1:22" ht="25.15" customHeight="1" x14ac:dyDescent="0.25">
      <c r="A136" s="32">
        <f>A96</f>
        <v>0</v>
      </c>
      <c r="B136" s="109" t="str">
        <f>B96</f>
        <v>983067-5832</v>
      </c>
      <c r="C136" s="109"/>
      <c r="D136" s="109"/>
      <c r="E136" s="109"/>
      <c r="F136" s="109"/>
      <c r="G136" s="109"/>
      <c r="H136" s="152">
        <f>H96</f>
        <v>1</v>
      </c>
      <c r="I136" s="153"/>
      <c r="J136" s="154"/>
      <c r="K136" s="155">
        <f>K96</f>
        <v>68</v>
      </c>
      <c r="L136" s="156"/>
      <c r="M136" s="157" t="str">
        <f>M96</f>
        <v>UY</v>
      </c>
      <c r="N136" s="158"/>
      <c r="O136" s="159"/>
      <c r="P136" s="35" t="str">
        <f>P96</f>
        <v>10 PS</v>
      </c>
      <c r="R136" s="88"/>
      <c r="S136" s="88"/>
      <c r="T136" s="67"/>
      <c r="V136" s="147"/>
    </row>
    <row r="137" spans="1:22" ht="25.15" customHeight="1" x14ac:dyDescent="0.25">
      <c r="A137" s="32">
        <f t="shared" ref="A137:B152" si="12">A97</f>
        <v>0</v>
      </c>
      <c r="B137" s="109" t="str">
        <f t="shared" si="12"/>
        <v>300635-5832</v>
      </c>
      <c r="C137" s="109"/>
      <c r="D137" s="109"/>
      <c r="E137" s="109"/>
      <c r="F137" s="109"/>
      <c r="G137" s="109"/>
      <c r="H137" s="152">
        <f>H97</f>
        <v>16</v>
      </c>
      <c r="I137" s="153"/>
      <c r="J137" s="154"/>
      <c r="K137" s="155">
        <f>K97</f>
        <v>1196</v>
      </c>
      <c r="L137" s="156"/>
      <c r="M137" s="157" t="str">
        <f t="shared" ref="M137:M154" si="13">M97</f>
        <v>IN</v>
      </c>
      <c r="N137" s="158"/>
      <c r="O137" s="159"/>
      <c r="P137" s="35">
        <f t="shared" ref="P137:P154" si="14">P97</f>
        <v>0</v>
      </c>
      <c r="R137" s="88"/>
      <c r="S137" s="88"/>
      <c r="T137" s="67"/>
      <c r="V137" s="148"/>
    </row>
    <row r="138" spans="1:22" ht="25.15" customHeight="1" x14ac:dyDescent="0.25">
      <c r="A138" s="32">
        <f t="shared" si="12"/>
        <v>0</v>
      </c>
      <c r="B138" s="109" t="str">
        <f t="shared" si="12"/>
        <v>328562-7952</v>
      </c>
      <c r="C138" s="109"/>
      <c r="D138" s="109"/>
      <c r="E138" s="109"/>
      <c r="F138" s="109"/>
      <c r="G138" s="109"/>
      <c r="H138" s="152">
        <f t="shared" ref="H138:H154" si="15">H98</f>
        <v>8</v>
      </c>
      <c r="I138" s="153"/>
      <c r="J138" s="154"/>
      <c r="K138" s="155">
        <f t="shared" ref="K138:K154" si="16">K98</f>
        <v>382</v>
      </c>
      <c r="L138" s="156"/>
      <c r="M138" s="157" t="str">
        <f t="shared" si="13"/>
        <v>OEW174</v>
      </c>
      <c r="N138" s="158"/>
      <c r="O138" s="159"/>
      <c r="P138" s="35">
        <f t="shared" si="14"/>
        <v>0</v>
      </c>
      <c r="R138" s="88"/>
      <c r="S138" s="88"/>
      <c r="T138" s="67"/>
      <c r="V138" s="148"/>
    </row>
    <row r="139" spans="1:22" ht="25.15" customHeight="1" x14ac:dyDescent="0.25">
      <c r="A139" s="32">
        <f t="shared" si="12"/>
        <v>0</v>
      </c>
      <c r="B139" s="109" t="str">
        <f t="shared" si="12"/>
        <v>321334-5828</v>
      </c>
      <c r="C139" s="109"/>
      <c r="D139" s="109"/>
      <c r="E139" s="109"/>
      <c r="F139" s="109"/>
      <c r="G139" s="109"/>
      <c r="H139" s="152">
        <f t="shared" si="15"/>
        <v>7</v>
      </c>
      <c r="I139" s="153"/>
      <c r="J139" s="154"/>
      <c r="K139" s="155">
        <f t="shared" si="16"/>
        <v>290</v>
      </c>
      <c r="L139" s="156"/>
      <c r="M139" s="157" t="str">
        <f t="shared" si="13"/>
        <v>OEW174</v>
      </c>
      <c r="N139" s="158"/>
      <c r="O139" s="159"/>
      <c r="P139" s="35">
        <f t="shared" si="14"/>
        <v>0</v>
      </c>
      <c r="R139" s="88"/>
      <c r="S139" s="88"/>
      <c r="T139" s="67"/>
      <c r="V139" s="147"/>
    </row>
    <row r="140" spans="1:22" ht="25.15" customHeight="1" x14ac:dyDescent="0.25">
      <c r="A140" s="32">
        <f t="shared" si="12"/>
        <v>0</v>
      </c>
      <c r="B140" s="109" t="str">
        <f t="shared" si="12"/>
        <v>311047-5828</v>
      </c>
      <c r="C140" s="109"/>
      <c r="D140" s="109"/>
      <c r="E140" s="109"/>
      <c r="F140" s="109"/>
      <c r="G140" s="109"/>
      <c r="H140" s="152">
        <f t="shared" si="15"/>
        <v>3</v>
      </c>
      <c r="I140" s="153"/>
      <c r="J140" s="154"/>
      <c r="K140" s="155">
        <f t="shared" si="16"/>
        <v>100</v>
      </c>
      <c r="L140" s="156"/>
      <c r="M140" s="157" t="str">
        <f t="shared" si="13"/>
        <v>OEW174</v>
      </c>
      <c r="N140" s="158"/>
      <c r="O140" s="159"/>
      <c r="P140" s="35">
        <f t="shared" si="14"/>
        <v>0</v>
      </c>
      <c r="R140" s="88"/>
      <c r="S140" s="88"/>
      <c r="T140" s="67"/>
      <c r="V140" s="148"/>
    </row>
    <row r="141" spans="1:22" ht="25.15" customHeight="1" x14ac:dyDescent="0.25">
      <c r="A141" s="32">
        <f t="shared" si="12"/>
        <v>0</v>
      </c>
      <c r="B141" s="109" t="str">
        <f t="shared" si="12"/>
        <v>307355-5832</v>
      </c>
      <c r="C141" s="109"/>
      <c r="D141" s="109"/>
      <c r="E141" s="109"/>
      <c r="F141" s="109"/>
      <c r="G141" s="109"/>
      <c r="H141" s="152">
        <f t="shared" si="15"/>
        <v>3</v>
      </c>
      <c r="I141" s="153"/>
      <c r="J141" s="154"/>
      <c r="K141" s="155">
        <f t="shared" si="16"/>
        <v>189</v>
      </c>
      <c r="L141" s="156"/>
      <c r="M141" s="157" t="str">
        <f t="shared" si="13"/>
        <v>OIW243,OIW404</v>
      </c>
      <c r="N141" s="158"/>
      <c r="O141" s="159"/>
      <c r="P141" s="35">
        <f t="shared" si="14"/>
        <v>0</v>
      </c>
      <c r="R141" s="88"/>
      <c r="S141" s="88"/>
      <c r="T141" s="67"/>
      <c r="V141" s="148"/>
    </row>
    <row r="142" spans="1:22" ht="25.15" customHeight="1" x14ac:dyDescent="0.25">
      <c r="A142" s="32">
        <f t="shared" si="12"/>
        <v>0</v>
      </c>
      <c r="B142" s="109" t="str">
        <f t="shared" si="12"/>
        <v>309643-5832</v>
      </c>
      <c r="C142" s="109"/>
      <c r="D142" s="109"/>
      <c r="E142" s="109"/>
      <c r="F142" s="109"/>
      <c r="G142" s="109"/>
      <c r="H142" s="152">
        <f t="shared" si="15"/>
        <v>7</v>
      </c>
      <c r="I142" s="153"/>
      <c r="J142" s="154"/>
      <c r="K142" s="155">
        <f t="shared" si="16"/>
        <v>280</v>
      </c>
      <c r="L142" s="156"/>
      <c r="M142" s="157" t="str">
        <f t="shared" si="13"/>
        <v>OEW174</v>
      </c>
      <c r="N142" s="158"/>
      <c r="O142" s="159"/>
      <c r="P142" s="35">
        <f t="shared" si="14"/>
        <v>0</v>
      </c>
      <c r="R142" s="88"/>
      <c r="S142" s="88"/>
      <c r="T142" s="67"/>
    </row>
    <row r="143" spans="1:22" ht="25.15" customHeight="1" x14ac:dyDescent="0.25">
      <c r="A143" s="32">
        <f t="shared" si="12"/>
        <v>0</v>
      </c>
      <c r="B143" s="109" t="str">
        <f t="shared" si="12"/>
        <v>306973-5828</v>
      </c>
      <c r="C143" s="109"/>
      <c r="D143" s="109"/>
      <c r="E143" s="109"/>
      <c r="F143" s="109"/>
      <c r="G143" s="109"/>
      <c r="H143" s="152">
        <f t="shared" si="15"/>
        <v>9</v>
      </c>
      <c r="I143" s="153"/>
      <c r="J143" s="154"/>
      <c r="K143" s="155">
        <f t="shared" si="16"/>
        <v>635</v>
      </c>
      <c r="L143" s="156"/>
      <c r="M143" s="157" t="str">
        <f t="shared" si="13"/>
        <v>CA</v>
      </c>
      <c r="N143" s="158"/>
      <c r="O143" s="159"/>
      <c r="P143" s="35">
        <f t="shared" si="14"/>
        <v>0</v>
      </c>
      <c r="R143" s="88"/>
      <c r="S143" s="88"/>
      <c r="T143" s="67"/>
    </row>
    <row r="144" spans="1:22" ht="25.15" customHeight="1" x14ac:dyDescent="0.25">
      <c r="A144" s="32">
        <f t="shared" si="12"/>
        <v>0</v>
      </c>
      <c r="B144" s="109" t="str">
        <f t="shared" si="12"/>
        <v>325378-5832</v>
      </c>
      <c r="C144" s="109"/>
      <c r="D144" s="109"/>
      <c r="E144" s="109"/>
      <c r="F144" s="109"/>
      <c r="G144" s="109"/>
      <c r="H144" s="152">
        <f t="shared" si="15"/>
        <v>20</v>
      </c>
      <c r="I144" s="153"/>
      <c r="J144" s="154"/>
      <c r="K144" s="155">
        <f t="shared" si="16"/>
        <v>1317</v>
      </c>
      <c r="L144" s="156"/>
      <c r="M144" s="157" t="str">
        <f t="shared" si="13"/>
        <v>OEW174</v>
      </c>
      <c r="N144" s="158"/>
      <c r="O144" s="159"/>
      <c r="P144" s="35">
        <f t="shared" si="14"/>
        <v>0</v>
      </c>
      <c r="R144" s="88"/>
      <c r="S144" s="88"/>
      <c r="T144" s="67"/>
    </row>
    <row r="145" spans="1:20" ht="25.15" customHeight="1" x14ac:dyDescent="0.25">
      <c r="A145" s="32">
        <f t="shared" si="12"/>
        <v>0</v>
      </c>
      <c r="B145" s="109" t="str">
        <f t="shared" si="12"/>
        <v>297321-5828</v>
      </c>
      <c r="C145" s="109"/>
      <c r="D145" s="109"/>
      <c r="E145" s="109"/>
      <c r="F145" s="109"/>
      <c r="G145" s="109"/>
      <c r="H145" s="152">
        <f t="shared" si="15"/>
        <v>41</v>
      </c>
      <c r="I145" s="153"/>
      <c r="J145" s="154"/>
      <c r="K145" s="155">
        <f t="shared" si="16"/>
        <v>2143</v>
      </c>
      <c r="L145" s="156"/>
      <c r="M145" s="157" t="str">
        <f t="shared" si="13"/>
        <v>CA</v>
      </c>
      <c r="N145" s="158"/>
      <c r="O145" s="159"/>
      <c r="P145" s="35">
        <f t="shared" si="14"/>
        <v>0</v>
      </c>
      <c r="R145" s="88"/>
      <c r="S145" s="88"/>
      <c r="T145" s="67"/>
    </row>
    <row r="146" spans="1:20" ht="25.15" customHeight="1" x14ac:dyDescent="0.25">
      <c r="A146" s="32">
        <f t="shared" si="12"/>
        <v>0</v>
      </c>
      <c r="B146" s="109" t="str">
        <f t="shared" si="12"/>
        <v>297318-5828</v>
      </c>
      <c r="C146" s="109"/>
      <c r="D146" s="109"/>
      <c r="E146" s="109"/>
      <c r="F146" s="109"/>
      <c r="G146" s="109"/>
      <c r="H146" s="152">
        <f t="shared" si="15"/>
        <v>18</v>
      </c>
      <c r="I146" s="153"/>
      <c r="J146" s="154"/>
      <c r="K146" s="155">
        <f t="shared" si="16"/>
        <v>892</v>
      </c>
      <c r="L146" s="156"/>
      <c r="M146" s="157" t="str">
        <f t="shared" si="13"/>
        <v>CA</v>
      </c>
      <c r="N146" s="158"/>
      <c r="O146" s="159"/>
      <c r="P146" s="35">
        <f t="shared" si="14"/>
        <v>0</v>
      </c>
      <c r="R146" s="88"/>
      <c r="S146" s="88"/>
      <c r="T146" s="67"/>
    </row>
    <row r="147" spans="1:20" ht="25.15" customHeight="1" x14ac:dyDescent="0.25">
      <c r="A147" s="32">
        <f t="shared" si="12"/>
        <v>0</v>
      </c>
      <c r="B147" s="109" t="str">
        <f t="shared" si="12"/>
        <v>325706-5832</v>
      </c>
      <c r="C147" s="109"/>
      <c r="D147" s="109"/>
      <c r="E147" s="109"/>
      <c r="F147" s="109"/>
      <c r="G147" s="109"/>
      <c r="H147" s="152">
        <f t="shared" si="15"/>
        <v>18</v>
      </c>
      <c r="I147" s="153"/>
      <c r="J147" s="154"/>
      <c r="K147" s="155">
        <f t="shared" si="16"/>
        <v>1998</v>
      </c>
      <c r="L147" s="156"/>
      <c r="M147" s="157" t="str">
        <f t="shared" si="13"/>
        <v>IN</v>
      </c>
      <c r="N147" s="158"/>
      <c r="O147" s="159"/>
      <c r="P147" s="35">
        <f t="shared" si="14"/>
        <v>0</v>
      </c>
      <c r="R147" s="88"/>
      <c r="S147" s="88"/>
      <c r="T147" s="67"/>
    </row>
    <row r="148" spans="1:20" ht="25.15" customHeight="1" x14ac:dyDescent="0.25">
      <c r="A148" s="32">
        <f t="shared" si="12"/>
        <v>0</v>
      </c>
      <c r="B148" s="109" t="str">
        <f t="shared" si="12"/>
        <v>325696-5832</v>
      </c>
      <c r="C148" s="109"/>
      <c r="D148" s="109"/>
      <c r="E148" s="109"/>
      <c r="F148" s="109"/>
      <c r="G148" s="109"/>
      <c r="H148" s="152">
        <f t="shared" si="15"/>
        <v>18</v>
      </c>
      <c r="I148" s="153"/>
      <c r="J148" s="154"/>
      <c r="K148" s="155">
        <f t="shared" si="16"/>
        <v>1987</v>
      </c>
      <c r="L148" s="156"/>
      <c r="M148" s="157" t="str">
        <f t="shared" si="13"/>
        <v>IN</v>
      </c>
      <c r="N148" s="158"/>
      <c r="O148" s="159"/>
      <c r="P148" s="35">
        <f t="shared" si="14"/>
        <v>0</v>
      </c>
      <c r="R148" s="88"/>
      <c r="S148" s="88"/>
      <c r="T148" s="67"/>
    </row>
    <row r="149" spans="1:20" ht="25.15" customHeight="1" x14ac:dyDescent="0.25">
      <c r="A149" s="32">
        <f t="shared" si="12"/>
        <v>0</v>
      </c>
      <c r="B149" s="109" t="str">
        <f t="shared" si="12"/>
        <v>304153-7272</v>
      </c>
      <c r="C149" s="109"/>
      <c r="D149" s="109"/>
      <c r="E149" s="109"/>
      <c r="F149" s="109"/>
      <c r="G149" s="109"/>
      <c r="H149" s="152">
        <f t="shared" si="15"/>
        <v>13</v>
      </c>
      <c r="I149" s="153"/>
      <c r="J149" s="154"/>
      <c r="K149" s="155">
        <f t="shared" si="16"/>
        <v>669</v>
      </c>
      <c r="L149" s="156"/>
      <c r="M149" s="157" t="str">
        <f t="shared" si="13"/>
        <v>IN</v>
      </c>
      <c r="N149" s="158"/>
      <c r="O149" s="159"/>
      <c r="P149" s="35">
        <f t="shared" si="14"/>
        <v>0</v>
      </c>
      <c r="R149" s="88"/>
      <c r="S149" s="88"/>
      <c r="T149" s="67"/>
    </row>
    <row r="150" spans="1:20" ht="25.15" customHeight="1" x14ac:dyDescent="0.25">
      <c r="A150" s="32">
        <f t="shared" si="12"/>
        <v>0</v>
      </c>
      <c r="B150" s="109" t="str">
        <f t="shared" si="12"/>
        <v>291816-5832</v>
      </c>
      <c r="C150" s="109"/>
      <c r="D150" s="109"/>
      <c r="E150" s="109"/>
      <c r="F150" s="109"/>
      <c r="G150" s="109"/>
      <c r="H150" s="152">
        <f t="shared" si="15"/>
        <v>14</v>
      </c>
      <c r="I150" s="153"/>
      <c r="J150" s="154"/>
      <c r="K150" s="155">
        <f t="shared" si="16"/>
        <v>695</v>
      </c>
      <c r="L150" s="156"/>
      <c r="M150" s="157" t="str">
        <f t="shared" si="13"/>
        <v>OIW243,OIW404</v>
      </c>
      <c r="N150" s="158"/>
      <c r="O150" s="159"/>
      <c r="P150" s="35">
        <f t="shared" si="14"/>
        <v>0</v>
      </c>
      <c r="R150" s="88"/>
      <c r="S150" s="88"/>
      <c r="T150" s="67"/>
    </row>
    <row r="151" spans="1:20" ht="25.15" customHeight="1" x14ac:dyDescent="0.25">
      <c r="A151" s="32">
        <f t="shared" si="12"/>
        <v>0</v>
      </c>
      <c r="B151" s="109" t="str">
        <f t="shared" si="12"/>
        <v>285434-5832</v>
      </c>
      <c r="C151" s="109"/>
      <c r="D151" s="109"/>
      <c r="E151" s="109"/>
      <c r="F151" s="109"/>
      <c r="G151" s="109"/>
      <c r="H151" s="152">
        <f t="shared" si="15"/>
        <v>5</v>
      </c>
      <c r="I151" s="153"/>
      <c r="J151" s="154"/>
      <c r="K151" s="155">
        <f t="shared" si="16"/>
        <v>253</v>
      </c>
      <c r="L151" s="156"/>
      <c r="M151" s="157" t="str">
        <f t="shared" si="13"/>
        <v>TW</v>
      </c>
      <c r="N151" s="158"/>
      <c r="O151" s="159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09" t="str">
        <f t="shared" si="12"/>
        <v>285445-5832</v>
      </c>
      <c r="C152" s="109"/>
      <c r="D152" s="109"/>
      <c r="E152" s="109"/>
      <c r="F152" s="109"/>
      <c r="G152" s="109"/>
      <c r="H152" s="152">
        <f t="shared" si="15"/>
        <v>7</v>
      </c>
      <c r="I152" s="153"/>
      <c r="J152" s="154"/>
      <c r="K152" s="155">
        <f t="shared" si="16"/>
        <v>264</v>
      </c>
      <c r="L152" s="156"/>
      <c r="M152" s="157" t="str">
        <f t="shared" si="13"/>
        <v>OIW243,OIW404</v>
      </c>
      <c r="N152" s="158"/>
      <c r="O152" s="159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09" t="str">
        <f t="shared" si="17"/>
        <v>285477-5832</v>
      </c>
      <c r="C153" s="109"/>
      <c r="D153" s="109"/>
      <c r="E153" s="109"/>
      <c r="F153" s="109"/>
      <c r="G153" s="109"/>
      <c r="H153" s="152">
        <f t="shared" si="15"/>
        <v>4</v>
      </c>
      <c r="I153" s="153"/>
      <c r="J153" s="154"/>
      <c r="K153" s="155">
        <f t="shared" si="16"/>
        <v>152</v>
      </c>
      <c r="L153" s="156"/>
      <c r="M153" s="157" t="str">
        <f t="shared" si="13"/>
        <v>TW</v>
      </c>
      <c r="N153" s="158"/>
      <c r="O153" s="159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09" t="str">
        <f t="shared" si="17"/>
        <v>327483-7952</v>
      </c>
      <c r="C154" s="109"/>
      <c r="D154" s="109"/>
      <c r="E154" s="109"/>
      <c r="F154" s="109"/>
      <c r="G154" s="109"/>
      <c r="H154" s="152">
        <f t="shared" si="15"/>
        <v>4</v>
      </c>
      <c r="I154" s="153"/>
      <c r="J154" s="154"/>
      <c r="K154" s="155">
        <f t="shared" si="16"/>
        <v>170</v>
      </c>
      <c r="L154" s="156"/>
      <c r="M154" s="157" t="str">
        <f t="shared" si="13"/>
        <v>OEW174</v>
      </c>
      <c r="N154" s="158"/>
      <c r="O154" s="159"/>
      <c r="P154" s="35">
        <f t="shared" si="14"/>
        <v>0</v>
      </c>
    </row>
    <row r="155" spans="1:20" ht="21.95" customHeight="1" thickBot="1" x14ac:dyDescent="0.3">
      <c r="A155" s="126" t="s">
        <v>17</v>
      </c>
      <c r="B155" s="127"/>
      <c r="C155" s="127"/>
      <c r="D155" s="127"/>
      <c r="E155" s="127"/>
      <c r="F155" s="127"/>
      <c r="G155" s="116"/>
      <c r="H155" s="128">
        <f>SUM(H135:J154)</f>
        <v>232</v>
      </c>
      <c r="I155" s="168"/>
      <c r="J155" s="169"/>
      <c r="K155" s="131">
        <f>SUM(K135:L154)</f>
        <v>14803</v>
      </c>
      <c r="L155" s="132"/>
      <c r="M155" s="133"/>
      <c r="N155" s="134"/>
      <c r="O155" s="135"/>
      <c r="P155" s="19"/>
    </row>
    <row r="157" spans="1:20" ht="31.9" customHeight="1" x14ac:dyDescent="0.25">
      <c r="A157" s="137" t="s">
        <v>22</v>
      </c>
      <c r="B157" s="138"/>
      <c r="C157" s="138"/>
      <c r="D157" s="139" t="str">
        <f>D117</f>
        <v>MD.AMANULLA</v>
      </c>
      <c r="E157" s="139"/>
      <c r="F157" s="139"/>
      <c r="G157" s="138" t="s">
        <v>23</v>
      </c>
      <c r="H157" s="138"/>
      <c r="I157" s="138"/>
      <c r="J157" s="138"/>
      <c r="K157" s="138"/>
      <c r="L157" s="138"/>
      <c r="M157" s="140" t="str">
        <f>M117</f>
        <v>01718-019525</v>
      </c>
      <c r="N157" s="140"/>
      <c r="O157" s="140"/>
      <c r="P157" s="141"/>
    </row>
    <row r="158" spans="1:20" ht="31.9" customHeight="1" x14ac:dyDescent="0.25">
      <c r="A158" s="142" t="s">
        <v>24</v>
      </c>
      <c r="B158" s="143"/>
      <c r="C158" s="143"/>
      <c r="D158" s="144" t="str">
        <f>D118</f>
        <v>OOO1</v>
      </c>
      <c r="E158" s="144"/>
      <c r="F158" s="144"/>
      <c r="G158" s="143" t="s">
        <v>25</v>
      </c>
      <c r="H158" s="143"/>
      <c r="I158" s="143"/>
      <c r="J158" s="143"/>
      <c r="K158" s="143"/>
      <c r="L158" s="143"/>
      <c r="M158" s="145" t="str">
        <f>M118</f>
        <v>D.M.TA 20-7316</v>
      </c>
      <c r="N158" s="145"/>
      <c r="O158" s="145"/>
      <c r="P158" s="146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36" t="s">
        <v>18</v>
      </c>
      <c r="B160" s="136"/>
      <c r="C160" s="136"/>
      <c r="D160" s="4"/>
      <c r="E160" s="4"/>
      <c r="F160" s="136" t="s">
        <v>19</v>
      </c>
      <c r="G160" s="136"/>
      <c r="H160" s="36"/>
      <c r="I160" s="36"/>
      <c r="J160" s="36"/>
      <c r="K160" s="4"/>
      <c r="L160" s="136" t="s">
        <v>20</v>
      </c>
      <c r="M160" s="136"/>
      <c r="N160" s="136"/>
      <c r="O160" s="136"/>
      <c r="P160" s="136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26:G26"/>
    <mergeCell ref="H26:J26"/>
    <mergeCell ref="K26:L26"/>
    <mergeCell ref="M26:O26"/>
    <mergeCell ref="B27:G27"/>
    <mergeCell ref="H27:J27"/>
    <mergeCell ref="K27:L27"/>
    <mergeCell ref="M27:O27"/>
    <mergeCell ref="B24:G24"/>
    <mergeCell ref="H24:J24"/>
    <mergeCell ref="K24:L24"/>
    <mergeCell ref="M24:O24"/>
    <mergeCell ref="B25:G25"/>
    <mergeCell ref="H25:J25"/>
    <mergeCell ref="K25:L25"/>
    <mergeCell ref="M25:O25"/>
    <mergeCell ref="V16:V18"/>
    <mergeCell ref="B17:G17"/>
    <mergeCell ref="H17:J17"/>
    <mergeCell ref="K17:L17"/>
    <mergeCell ref="M17:O17"/>
    <mergeCell ref="B18:G18"/>
    <mergeCell ref="B23:G23"/>
    <mergeCell ref="H23:J23"/>
    <mergeCell ref="K23:L23"/>
    <mergeCell ref="M23:O23"/>
    <mergeCell ref="V19:V21"/>
    <mergeCell ref="B20:G20"/>
    <mergeCell ref="H20:J20"/>
    <mergeCell ref="K20:L20"/>
    <mergeCell ref="M20:O20"/>
    <mergeCell ref="B21:G21"/>
    <mergeCell ref="H21:J21"/>
    <mergeCell ref="K21:L21"/>
    <mergeCell ref="M21:O21"/>
    <mergeCell ref="B19:G19"/>
    <mergeCell ref="H19:J19"/>
    <mergeCell ref="K19:L19"/>
    <mergeCell ref="M19:O19"/>
    <mergeCell ref="M15:O15"/>
    <mergeCell ref="H18:J18"/>
    <mergeCell ref="K18:L18"/>
    <mergeCell ref="M18:O18"/>
    <mergeCell ref="B16:G16"/>
    <mergeCell ref="H16:J16"/>
    <mergeCell ref="K16:L16"/>
    <mergeCell ref="M16:O16"/>
    <mergeCell ref="B22:G22"/>
    <mergeCell ref="H22:J22"/>
    <mergeCell ref="K22:L22"/>
    <mergeCell ref="M22:O22"/>
    <mergeCell ref="C12:G12"/>
    <mergeCell ref="H12:L12"/>
    <mergeCell ref="M12:O14"/>
    <mergeCell ref="P12:P14"/>
    <mergeCell ref="C13:G13"/>
    <mergeCell ref="H13:J14"/>
    <mergeCell ref="K13:L14"/>
    <mergeCell ref="V7:V9"/>
    <mergeCell ref="A8:F10"/>
    <mergeCell ref="H8:J8"/>
    <mergeCell ref="L8:P8"/>
    <mergeCell ref="H9:J11"/>
    <mergeCell ref="K9:K11"/>
    <mergeCell ref="L9:P11"/>
    <mergeCell ref="V10:V12"/>
    <mergeCell ref="A11:B11"/>
    <mergeCell ref="A12:B12"/>
    <mergeCell ref="V13:V15"/>
    <mergeCell ref="A14:B14"/>
    <mergeCell ref="C14:D14"/>
    <mergeCell ref="E14:G14"/>
    <mergeCell ref="B15:G15"/>
    <mergeCell ref="H15:J15"/>
    <mergeCell ref="K15:L15"/>
    <mergeCell ref="A6:B6"/>
    <mergeCell ref="C6:F6"/>
    <mergeCell ref="H6:J6"/>
    <mergeCell ref="L6:P6"/>
    <mergeCell ref="H7:J7"/>
    <mergeCell ref="L7:P7"/>
    <mergeCell ref="A2:C3"/>
    <mergeCell ref="D2:L3"/>
    <mergeCell ref="M2:P3"/>
    <mergeCell ref="A4:C4"/>
    <mergeCell ref="D4:L4"/>
    <mergeCell ref="A5:B5"/>
    <mergeCell ref="D5:L5"/>
    <mergeCell ref="N5:P5"/>
  </mergeCells>
  <dataValidations count="4">
    <dataValidation type="list" allowBlank="1" showInputMessage="1" showErrorMessage="1" sqref="C14:D14 C94:D94 C54:D54 C134:D134" xr:uid="{EC2492D7-CB6F-46BE-B95B-B210E572F19D}">
      <formula1>$W$7:$W$161</formula1>
    </dataValidation>
    <dataValidation type="list" allowBlank="1" showInputMessage="1" showErrorMessage="1" sqref="L9:P11 L49:P51 L89:P91 L129:P131" xr:uid="{3B0B4542-3E97-4816-B749-70F7826E354C}">
      <formula1>Carrier</formula1>
    </dataValidation>
    <dataValidation type="list" allowBlank="1" showInputMessage="1" showErrorMessage="1" sqref="A8 A48 A88 A128" xr:uid="{F6DA841F-CD30-4A71-9602-A343E683584D}">
      <formula1>$T$7:$T$35</formula1>
    </dataValidation>
    <dataValidation type="list" allowBlank="1" showInputMessage="1" showErrorMessage="1" sqref="L8:P8 L48:P48 L88:P88 L128:P128" xr:uid="{AA2BD37B-5EC8-437C-ADE2-6DE0C50A7E72}">
      <formula1>Mode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CEC5-17CF-4D63-9EC9-AA33AA749376}">
  <sheetPr>
    <tabColor rgb="FF00B050"/>
  </sheetPr>
  <dimension ref="A1:Y168"/>
  <sheetViews>
    <sheetView view="pageBreakPreview" zoomScaleNormal="100" zoomScaleSheetLayoutView="100" workbookViewId="0">
      <selection activeCell="M37" sqref="M37:P37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37"/>
      <c r="B2" s="37"/>
      <c r="C2" s="37"/>
      <c r="D2" s="38" t="s">
        <v>27</v>
      </c>
      <c r="E2" s="38"/>
      <c r="F2" s="38"/>
      <c r="G2" s="38"/>
      <c r="H2" s="38"/>
      <c r="I2" s="38"/>
      <c r="J2" s="38"/>
      <c r="K2" s="38"/>
      <c r="L2" s="38"/>
      <c r="M2" s="39" t="s">
        <v>26</v>
      </c>
      <c r="N2" s="39"/>
      <c r="O2" s="39"/>
      <c r="P2" s="39"/>
      <c r="Q2" s="10"/>
    </row>
    <row r="3" spans="1:25" ht="22.15" customHeight="1" x14ac:dyDescent="0.25">
      <c r="A3" s="37"/>
      <c r="B3" s="37"/>
      <c r="C3" s="37"/>
      <c r="D3" s="38"/>
      <c r="E3" s="38"/>
      <c r="F3" s="38"/>
      <c r="G3" s="38"/>
      <c r="H3" s="38"/>
      <c r="I3" s="38"/>
      <c r="J3" s="38"/>
      <c r="K3" s="38"/>
      <c r="L3" s="38"/>
      <c r="M3" s="39"/>
      <c r="N3" s="39"/>
      <c r="O3" s="39"/>
      <c r="P3" s="39"/>
      <c r="Q3" s="10"/>
    </row>
    <row r="4" spans="1:25" ht="17.45" customHeight="1" x14ac:dyDescent="0.25">
      <c r="A4" s="40"/>
      <c r="B4" s="40"/>
      <c r="C4" s="40"/>
      <c r="D4" s="41" t="s">
        <v>21</v>
      </c>
      <c r="E4" s="41"/>
      <c r="F4" s="41"/>
      <c r="G4" s="41"/>
      <c r="H4" s="41"/>
      <c r="I4" s="41"/>
      <c r="J4" s="41"/>
      <c r="K4" s="41"/>
      <c r="L4" s="41"/>
      <c r="M4" s="11"/>
    </row>
    <row r="5" spans="1:25" ht="22.15" customHeight="1" thickBot="1" x14ac:dyDescent="0.35">
      <c r="A5" s="42"/>
      <c r="B5" s="42"/>
      <c r="C5" s="1"/>
      <c r="D5" s="43" t="s">
        <v>89</v>
      </c>
      <c r="E5" s="43"/>
      <c r="F5" s="43"/>
      <c r="G5" s="43"/>
      <c r="H5" s="43"/>
      <c r="I5" s="43"/>
      <c r="J5" s="43"/>
      <c r="K5" s="43"/>
      <c r="L5" s="43"/>
      <c r="M5" s="2"/>
      <c r="N5" s="37"/>
      <c r="O5" s="37"/>
      <c r="P5" s="37"/>
    </row>
    <row r="6" spans="1:25" ht="15.6" customHeight="1" thickBot="1" x14ac:dyDescent="0.35">
      <c r="A6" s="71" t="s">
        <v>9</v>
      </c>
      <c r="B6" s="72"/>
      <c r="C6" s="73" t="s">
        <v>119</v>
      </c>
      <c r="D6" s="73"/>
      <c r="E6" s="73"/>
      <c r="F6" s="74"/>
      <c r="G6" s="2"/>
      <c r="H6" s="75" t="s">
        <v>4</v>
      </c>
      <c r="I6" s="76"/>
      <c r="J6" s="76"/>
      <c r="K6" s="8" t="s">
        <v>7</v>
      </c>
      <c r="L6" s="77" t="s">
        <v>281</v>
      </c>
      <c r="M6" s="77"/>
      <c r="N6" s="77"/>
      <c r="O6" s="77"/>
      <c r="P6" s="78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52" t="s">
        <v>5</v>
      </c>
      <c r="I7" s="53"/>
      <c r="J7" s="53"/>
      <c r="K7" s="9" t="s">
        <v>7</v>
      </c>
      <c r="L7" s="79">
        <v>45687</v>
      </c>
      <c r="M7" s="79"/>
      <c r="N7" s="79"/>
      <c r="O7" s="79"/>
      <c r="P7" s="80"/>
      <c r="R7" s="28">
        <v>1</v>
      </c>
      <c r="S7" s="28" t="s">
        <v>39</v>
      </c>
      <c r="T7" s="29" t="s">
        <v>33</v>
      </c>
      <c r="U7" s="17" t="s">
        <v>29</v>
      </c>
      <c r="V7" s="44" t="s">
        <v>47</v>
      </c>
      <c r="W7" t="s">
        <v>54</v>
      </c>
    </row>
    <row r="8" spans="1:25" ht="18" customHeight="1" x14ac:dyDescent="0.3">
      <c r="A8" s="46" t="s">
        <v>192</v>
      </c>
      <c r="B8" s="47"/>
      <c r="C8" s="47"/>
      <c r="D8" s="47"/>
      <c r="E8" s="47"/>
      <c r="F8" s="48"/>
      <c r="G8" s="2"/>
      <c r="H8" s="52" t="s">
        <v>8</v>
      </c>
      <c r="I8" s="53"/>
      <c r="J8" s="53"/>
      <c r="K8" s="9" t="s">
        <v>7</v>
      </c>
      <c r="L8" s="54" t="s">
        <v>29</v>
      </c>
      <c r="M8" s="54"/>
      <c r="N8" s="54"/>
      <c r="O8" s="54"/>
      <c r="P8" s="55"/>
      <c r="R8" s="28">
        <v>2</v>
      </c>
      <c r="S8" s="28" t="s">
        <v>40</v>
      </c>
      <c r="T8" s="29" t="s">
        <v>99</v>
      </c>
      <c r="U8" s="17" t="s">
        <v>30</v>
      </c>
      <c r="V8" s="45"/>
      <c r="W8" t="s">
        <v>55</v>
      </c>
    </row>
    <row r="9" spans="1:25" ht="17.45" customHeight="1" x14ac:dyDescent="0.3">
      <c r="A9" s="46"/>
      <c r="B9" s="47"/>
      <c r="C9" s="47"/>
      <c r="D9" s="47"/>
      <c r="E9" s="47"/>
      <c r="F9" s="48"/>
      <c r="G9" s="2"/>
      <c r="H9" s="56" t="s">
        <v>6</v>
      </c>
      <c r="I9" s="57"/>
      <c r="J9" s="57"/>
      <c r="K9" s="62" t="s">
        <v>7</v>
      </c>
      <c r="L9" s="65" t="s">
        <v>52</v>
      </c>
      <c r="M9" s="65"/>
      <c r="N9" s="65"/>
      <c r="O9" s="65"/>
      <c r="P9" s="66"/>
      <c r="R9" s="28">
        <v>3</v>
      </c>
      <c r="S9" s="28" t="s">
        <v>41</v>
      </c>
      <c r="T9" s="29" t="s">
        <v>100</v>
      </c>
      <c r="U9" s="17" t="s">
        <v>31</v>
      </c>
      <c r="V9" s="45"/>
      <c r="W9" t="s">
        <v>56</v>
      </c>
    </row>
    <row r="10" spans="1:25" ht="18" customHeight="1" thickBot="1" x14ac:dyDescent="0.35">
      <c r="A10" s="49"/>
      <c r="B10" s="50"/>
      <c r="C10" s="50"/>
      <c r="D10" s="50"/>
      <c r="E10" s="50"/>
      <c r="F10" s="51"/>
      <c r="G10" s="2"/>
      <c r="H10" s="58"/>
      <c r="I10" s="59"/>
      <c r="J10" s="59"/>
      <c r="K10" s="63"/>
      <c r="L10" s="67"/>
      <c r="M10" s="67"/>
      <c r="N10" s="67"/>
      <c r="O10" s="67"/>
      <c r="P10" s="68"/>
      <c r="R10" s="28">
        <v>4</v>
      </c>
      <c r="S10" s="28" t="s">
        <v>42</v>
      </c>
      <c r="T10" s="30" t="s">
        <v>34</v>
      </c>
      <c r="U10" s="17"/>
      <c r="V10" s="44" t="s">
        <v>48</v>
      </c>
      <c r="W10" t="s">
        <v>57</v>
      </c>
    </row>
    <row r="11" spans="1:25" ht="18" customHeight="1" thickBot="1" x14ac:dyDescent="0.35">
      <c r="A11" s="42"/>
      <c r="B11" s="42"/>
      <c r="C11" s="1"/>
      <c r="D11" s="2"/>
      <c r="E11" s="2"/>
      <c r="F11" s="2"/>
      <c r="G11" s="2"/>
      <c r="H11" s="60"/>
      <c r="I11" s="61"/>
      <c r="J11" s="61"/>
      <c r="K11" s="64"/>
      <c r="L11" s="69"/>
      <c r="M11" s="69"/>
      <c r="N11" s="69"/>
      <c r="O11" s="69"/>
      <c r="P11" s="70"/>
      <c r="R11" s="28">
        <v>5</v>
      </c>
      <c r="S11" s="28" t="s">
        <v>43</v>
      </c>
      <c r="T11" s="30" t="s">
        <v>35</v>
      </c>
      <c r="U11" s="17"/>
      <c r="V11" s="45"/>
      <c r="W11" t="s">
        <v>58</v>
      </c>
    </row>
    <row r="12" spans="1:25" ht="16.149999999999999" customHeight="1" x14ac:dyDescent="0.25">
      <c r="A12" s="103" t="s">
        <v>12</v>
      </c>
      <c r="B12" s="104"/>
      <c r="C12" s="105" t="s">
        <v>0</v>
      </c>
      <c r="D12" s="105"/>
      <c r="E12" s="105"/>
      <c r="F12" s="105"/>
      <c r="G12" s="105"/>
      <c r="H12" s="81" t="s">
        <v>1</v>
      </c>
      <c r="I12" s="82"/>
      <c r="J12" s="82"/>
      <c r="K12" s="82"/>
      <c r="L12" s="83"/>
      <c r="M12" s="84" t="s">
        <v>16</v>
      </c>
      <c r="N12" s="85"/>
      <c r="O12" s="86"/>
      <c r="P12" s="93" t="s">
        <v>3</v>
      </c>
      <c r="R12" s="28">
        <v>6</v>
      </c>
      <c r="S12" s="28" t="s">
        <v>44</v>
      </c>
      <c r="T12" s="30" t="s">
        <v>36</v>
      </c>
      <c r="U12" s="17"/>
      <c r="V12" s="45"/>
      <c r="W12" t="s">
        <v>67</v>
      </c>
    </row>
    <row r="13" spans="1:25" ht="16.149999999999999" customHeight="1" x14ac:dyDescent="0.25">
      <c r="A13" s="3" t="s">
        <v>13</v>
      </c>
      <c r="B13" s="33">
        <v>0</v>
      </c>
      <c r="C13" s="96" t="s">
        <v>14</v>
      </c>
      <c r="D13" s="96"/>
      <c r="E13" s="96"/>
      <c r="F13" s="96"/>
      <c r="G13" s="96"/>
      <c r="H13" s="97" t="s">
        <v>2</v>
      </c>
      <c r="I13" s="98"/>
      <c r="J13" s="99"/>
      <c r="K13" s="97" t="s">
        <v>15</v>
      </c>
      <c r="L13" s="99"/>
      <c r="M13" s="87"/>
      <c r="N13" s="88"/>
      <c r="O13" s="89"/>
      <c r="P13" s="94"/>
      <c r="R13" s="28">
        <v>7</v>
      </c>
      <c r="S13" s="28" t="s">
        <v>45</v>
      </c>
      <c r="T13" s="30" t="s">
        <v>37</v>
      </c>
      <c r="U13" s="12"/>
      <c r="V13" s="44" t="s">
        <v>49</v>
      </c>
      <c r="W13" t="s">
        <v>59</v>
      </c>
    </row>
    <row r="14" spans="1:25" ht="16.149999999999999" customHeight="1" thickBot="1" x14ac:dyDescent="0.3">
      <c r="A14" s="113" t="s">
        <v>11</v>
      </c>
      <c r="B14" s="114"/>
      <c r="C14" s="115" t="s">
        <v>66</v>
      </c>
      <c r="D14" s="116"/>
      <c r="E14" s="117" t="s">
        <v>88</v>
      </c>
      <c r="F14" s="118"/>
      <c r="G14" s="114"/>
      <c r="H14" s="100"/>
      <c r="I14" s="101"/>
      <c r="J14" s="102"/>
      <c r="K14" s="100"/>
      <c r="L14" s="102"/>
      <c r="M14" s="90"/>
      <c r="N14" s="91"/>
      <c r="O14" s="92"/>
      <c r="P14" s="95"/>
      <c r="R14" s="28">
        <v>8</v>
      </c>
      <c r="S14" s="28" t="s">
        <v>46</v>
      </c>
      <c r="T14" s="30" t="s">
        <v>38</v>
      </c>
      <c r="U14" s="12"/>
      <c r="V14" s="45"/>
      <c r="W14" t="s">
        <v>60</v>
      </c>
    </row>
    <row r="15" spans="1:25" ht="25.15" customHeight="1" x14ac:dyDescent="0.25">
      <c r="A15" s="31"/>
      <c r="B15" s="119" t="s">
        <v>143</v>
      </c>
      <c r="C15" s="119"/>
      <c r="D15" s="119"/>
      <c r="E15" s="119"/>
      <c r="F15" s="119"/>
      <c r="G15" s="119"/>
      <c r="H15" s="120">
        <v>6</v>
      </c>
      <c r="I15" s="121"/>
      <c r="J15" s="122"/>
      <c r="K15" s="123">
        <v>420</v>
      </c>
      <c r="L15" s="124"/>
      <c r="M15" s="106" t="s">
        <v>200</v>
      </c>
      <c r="N15" s="107"/>
      <c r="O15" s="108"/>
      <c r="P15" s="34"/>
      <c r="R15" s="28">
        <v>9</v>
      </c>
      <c r="S15" s="28" t="s">
        <v>96</v>
      </c>
      <c r="T15" s="30" t="s">
        <v>93</v>
      </c>
      <c r="U15" s="12"/>
      <c r="V15" s="45"/>
      <c r="W15" t="s">
        <v>61</v>
      </c>
    </row>
    <row r="16" spans="1:25" ht="25.15" customHeight="1" x14ac:dyDescent="0.25">
      <c r="A16" s="32"/>
      <c r="B16" s="109" t="s">
        <v>132</v>
      </c>
      <c r="C16" s="109"/>
      <c r="D16" s="109"/>
      <c r="E16" s="109"/>
      <c r="F16" s="109"/>
      <c r="G16" s="109"/>
      <c r="H16" s="110">
        <v>2</v>
      </c>
      <c r="I16" s="110"/>
      <c r="J16" s="110"/>
      <c r="K16" s="111">
        <v>175</v>
      </c>
      <c r="L16" s="111"/>
      <c r="M16" s="112" t="s">
        <v>194</v>
      </c>
      <c r="N16" s="112"/>
      <c r="O16" s="112"/>
      <c r="P16" s="35"/>
      <c r="R16" s="28">
        <v>10</v>
      </c>
      <c r="S16" s="28" t="s">
        <v>98</v>
      </c>
      <c r="T16" s="30" t="s">
        <v>94</v>
      </c>
      <c r="U16" s="12"/>
      <c r="V16" s="44" t="s">
        <v>50</v>
      </c>
      <c r="W16" t="s">
        <v>62</v>
      </c>
    </row>
    <row r="17" spans="1:23" ht="25.15" customHeight="1" x14ac:dyDescent="0.25">
      <c r="A17" s="32"/>
      <c r="B17" s="109"/>
      <c r="C17" s="109"/>
      <c r="D17" s="109"/>
      <c r="E17" s="109"/>
      <c r="F17" s="109"/>
      <c r="G17" s="109"/>
      <c r="H17" s="110"/>
      <c r="I17" s="110"/>
      <c r="J17" s="110"/>
      <c r="K17" s="111"/>
      <c r="L17" s="111"/>
      <c r="M17" s="112"/>
      <c r="N17" s="112"/>
      <c r="O17" s="112"/>
      <c r="P17" s="35"/>
      <c r="R17" s="28">
        <v>11</v>
      </c>
      <c r="S17" s="28" t="s">
        <v>97</v>
      </c>
      <c r="T17" s="30" t="s">
        <v>95</v>
      </c>
      <c r="U17" s="12"/>
      <c r="V17" s="45"/>
      <c r="W17" t="s">
        <v>63</v>
      </c>
    </row>
    <row r="18" spans="1:23" ht="25.15" customHeight="1" x14ac:dyDescent="0.25">
      <c r="A18" s="32"/>
      <c r="B18" s="109"/>
      <c r="C18" s="109"/>
      <c r="D18" s="109"/>
      <c r="E18" s="109"/>
      <c r="F18" s="109"/>
      <c r="G18" s="109"/>
      <c r="H18" s="110"/>
      <c r="I18" s="110"/>
      <c r="J18" s="110"/>
      <c r="K18" s="111"/>
      <c r="L18" s="111"/>
      <c r="M18" s="112"/>
      <c r="N18" s="112"/>
      <c r="O18" s="112"/>
      <c r="P18" s="35"/>
      <c r="R18" s="28">
        <v>12</v>
      </c>
      <c r="S18" s="28" t="s">
        <v>101</v>
      </c>
      <c r="T18" s="30" t="s">
        <v>102</v>
      </c>
      <c r="U18" s="12"/>
      <c r="V18" s="45"/>
      <c r="W18" t="s">
        <v>64</v>
      </c>
    </row>
    <row r="19" spans="1:23" ht="25.15" customHeight="1" x14ac:dyDescent="0.25">
      <c r="A19" s="32"/>
      <c r="B19" s="109"/>
      <c r="C19" s="109"/>
      <c r="D19" s="109"/>
      <c r="E19" s="109"/>
      <c r="F19" s="109"/>
      <c r="G19" s="109"/>
      <c r="H19" s="110"/>
      <c r="I19" s="110"/>
      <c r="J19" s="110"/>
      <c r="K19" s="111"/>
      <c r="L19" s="111"/>
      <c r="M19" s="112"/>
      <c r="N19" s="112"/>
      <c r="O19" s="112"/>
      <c r="P19" s="35"/>
      <c r="R19" s="28">
        <v>13</v>
      </c>
      <c r="S19" s="28" t="s">
        <v>104</v>
      </c>
      <c r="T19" s="30" t="s">
        <v>103</v>
      </c>
      <c r="U19" s="12"/>
      <c r="V19" s="44" t="s">
        <v>51</v>
      </c>
      <c r="W19" t="s">
        <v>65</v>
      </c>
    </row>
    <row r="20" spans="1:23" ht="25.15" customHeight="1" x14ac:dyDescent="0.25">
      <c r="A20" s="32"/>
      <c r="B20" s="109"/>
      <c r="C20" s="109"/>
      <c r="D20" s="109"/>
      <c r="E20" s="109"/>
      <c r="F20" s="109"/>
      <c r="G20" s="109"/>
      <c r="H20" s="110"/>
      <c r="I20" s="110"/>
      <c r="J20" s="110"/>
      <c r="K20" s="111"/>
      <c r="L20" s="111"/>
      <c r="M20" s="125"/>
      <c r="N20" s="112"/>
      <c r="O20" s="112"/>
      <c r="P20" s="35"/>
      <c r="R20" s="28">
        <v>14</v>
      </c>
      <c r="S20" s="28" t="s">
        <v>105</v>
      </c>
      <c r="T20" s="30" t="s">
        <v>106</v>
      </c>
      <c r="U20" s="12"/>
      <c r="V20" s="45"/>
      <c r="W20" t="s">
        <v>66</v>
      </c>
    </row>
    <row r="21" spans="1:23" ht="25.15" customHeight="1" x14ac:dyDescent="0.25">
      <c r="A21" s="32"/>
      <c r="B21" s="109"/>
      <c r="C21" s="109"/>
      <c r="D21" s="109"/>
      <c r="E21" s="109"/>
      <c r="F21" s="109"/>
      <c r="G21" s="109"/>
      <c r="H21" s="110"/>
      <c r="I21" s="110"/>
      <c r="J21" s="110"/>
      <c r="K21" s="111"/>
      <c r="L21" s="111"/>
      <c r="M21" s="112"/>
      <c r="N21" s="112"/>
      <c r="O21" s="112"/>
      <c r="P21" s="35"/>
      <c r="R21" s="28">
        <v>15</v>
      </c>
      <c r="S21" s="28" t="s">
        <v>108</v>
      </c>
      <c r="T21" s="30" t="s">
        <v>107</v>
      </c>
      <c r="U21" s="12"/>
      <c r="V21" s="45"/>
      <c r="W21" t="s">
        <v>68</v>
      </c>
    </row>
    <row r="22" spans="1:23" ht="25.15" customHeight="1" x14ac:dyDescent="0.25">
      <c r="A22" s="32"/>
      <c r="B22" s="109"/>
      <c r="C22" s="109"/>
      <c r="D22" s="109"/>
      <c r="E22" s="109"/>
      <c r="F22" s="109"/>
      <c r="G22" s="109"/>
      <c r="H22" s="110"/>
      <c r="I22" s="110"/>
      <c r="J22" s="110"/>
      <c r="K22" s="111"/>
      <c r="L22" s="111"/>
      <c r="M22" s="112"/>
      <c r="N22" s="112"/>
      <c r="O22" s="112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09"/>
      <c r="C23" s="109"/>
      <c r="D23" s="109"/>
      <c r="E23" s="109"/>
      <c r="F23" s="109"/>
      <c r="G23" s="109"/>
      <c r="H23" s="110"/>
      <c r="I23" s="110"/>
      <c r="J23" s="110"/>
      <c r="K23" s="111"/>
      <c r="L23" s="111"/>
      <c r="M23" s="112"/>
      <c r="N23" s="112"/>
      <c r="O23" s="112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09"/>
      <c r="C24" s="109"/>
      <c r="D24" s="109"/>
      <c r="E24" s="109"/>
      <c r="F24" s="109"/>
      <c r="G24" s="109"/>
      <c r="H24" s="110"/>
      <c r="I24" s="110"/>
      <c r="J24" s="110"/>
      <c r="K24" s="111"/>
      <c r="L24" s="111"/>
      <c r="M24" s="112"/>
      <c r="N24" s="112"/>
      <c r="O24" s="112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09"/>
      <c r="C25" s="109"/>
      <c r="D25" s="109"/>
      <c r="E25" s="109"/>
      <c r="F25" s="109"/>
      <c r="G25" s="109"/>
      <c r="H25" s="110"/>
      <c r="I25" s="110"/>
      <c r="J25" s="110"/>
      <c r="K25" s="111"/>
      <c r="L25" s="111"/>
      <c r="M25" s="112"/>
      <c r="N25" s="112"/>
      <c r="O25" s="112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09"/>
      <c r="C26" s="109"/>
      <c r="D26" s="109"/>
      <c r="E26" s="109"/>
      <c r="F26" s="109"/>
      <c r="G26" s="109"/>
      <c r="H26" s="110"/>
      <c r="I26" s="110"/>
      <c r="J26" s="110"/>
      <c r="K26" s="111"/>
      <c r="L26" s="111"/>
      <c r="M26" s="112"/>
      <c r="N26" s="112"/>
      <c r="O26" s="112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09"/>
      <c r="C27" s="109"/>
      <c r="D27" s="109"/>
      <c r="E27" s="109"/>
      <c r="F27" s="109"/>
      <c r="G27" s="109"/>
      <c r="H27" s="110"/>
      <c r="I27" s="110"/>
      <c r="J27" s="110"/>
      <c r="K27" s="111"/>
      <c r="L27" s="111"/>
      <c r="M27" s="112"/>
      <c r="N27" s="112"/>
      <c r="O27" s="112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09"/>
      <c r="C28" s="109"/>
      <c r="D28" s="109"/>
      <c r="E28" s="109"/>
      <c r="F28" s="109"/>
      <c r="G28" s="109"/>
      <c r="H28" s="110"/>
      <c r="I28" s="110"/>
      <c r="J28" s="110"/>
      <c r="K28" s="111"/>
      <c r="L28" s="111"/>
      <c r="M28" s="112"/>
      <c r="N28" s="112"/>
      <c r="O28" s="112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09"/>
      <c r="C29" s="109"/>
      <c r="D29" s="109"/>
      <c r="E29" s="109"/>
      <c r="F29" s="109"/>
      <c r="G29" s="109"/>
      <c r="H29" s="110"/>
      <c r="I29" s="110"/>
      <c r="J29" s="110"/>
      <c r="K29" s="111"/>
      <c r="L29" s="111"/>
      <c r="M29" s="112"/>
      <c r="N29" s="112"/>
      <c r="O29" s="112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09"/>
      <c r="C30" s="109"/>
      <c r="D30" s="109"/>
      <c r="E30" s="109"/>
      <c r="F30" s="109"/>
      <c r="G30" s="109"/>
      <c r="H30" s="110"/>
      <c r="I30" s="110"/>
      <c r="J30" s="110"/>
      <c r="K30" s="111"/>
      <c r="L30" s="111"/>
      <c r="M30" s="112"/>
      <c r="N30" s="112"/>
      <c r="O30" s="112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09"/>
      <c r="C31" s="109"/>
      <c r="D31" s="109"/>
      <c r="E31" s="109"/>
      <c r="F31" s="109"/>
      <c r="G31" s="109"/>
      <c r="H31" s="110"/>
      <c r="I31" s="110"/>
      <c r="J31" s="110"/>
      <c r="K31" s="111"/>
      <c r="L31" s="111"/>
      <c r="M31" s="112"/>
      <c r="N31" s="112"/>
      <c r="O31" s="112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09"/>
      <c r="C32" s="109"/>
      <c r="D32" s="109"/>
      <c r="E32" s="109"/>
      <c r="F32" s="109"/>
      <c r="G32" s="109"/>
      <c r="H32" s="110"/>
      <c r="I32" s="110"/>
      <c r="J32" s="110"/>
      <c r="K32" s="111"/>
      <c r="L32" s="111"/>
      <c r="M32" s="112"/>
      <c r="N32" s="112"/>
      <c r="O32" s="112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09"/>
      <c r="C33" s="109"/>
      <c r="D33" s="109"/>
      <c r="E33" s="109"/>
      <c r="F33" s="109"/>
      <c r="G33" s="109"/>
      <c r="H33" s="110"/>
      <c r="I33" s="110"/>
      <c r="J33" s="110"/>
      <c r="K33" s="111"/>
      <c r="L33" s="111"/>
      <c r="M33" s="112"/>
      <c r="N33" s="112"/>
      <c r="O33" s="112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09"/>
      <c r="C34" s="109"/>
      <c r="D34" s="109"/>
      <c r="E34" s="109"/>
      <c r="F34" s="109"/>
      <c r="G34" s="109"/>
      <c r="H34" s="110"/>
      <c r="I34" s="110"/>
      <c r="J34" s="110"/>
      <c r="K34" s="111"/>
      <c r="L34" s="111"/>
      <c r="M34" s="112"/>
      <c r="N34" s="112"/>
      <c r="O34" s="112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26" t="s">
        <v>17</v>
      </c>
      <c r="B35" s="127"/>
      <c r="C35" s="127"/>
      <c r="D35" s="127"/>
      <c r="E35" s="127"/>
      <c r="F35" s="127"/>
      <c r="G35" s="116"/>
      <c r="H35" s="128">
        <f>SUM(H15:J34)</f>
        <v>8</v>
      </c>
      <c r="I35" s="129"/>
      <c r="J35" s="130"/>
      <c r="K35" s="131">
        <f>SUM(K15:L34)</f>
        <v>595</v>
      </c>
      <c r="L35" s="132"/>
      <c r="M35" s="133"/>
      <c r="N35" s="134"/>
      <c r="O35" s="135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37" t="s">
        <v>22</v>
      </c>
      <c r="B37" s="138"/>
      <c r="C37" s="138"/>
      <c r="D37" s="139" t="s">
        <v>285</v>
      </c>
      <c r="E37" s="139"/>
      <c r="F37" s="139"/>
      <c r="G37" s="138" t="s">
        <v>23</v>
      </c>
      <c r="H37" s="138"/>
      <c r="I37" s="138"/>
      <c r="J37" s="138"/>
      <c r="K37" s="138"/>
      <c r="L37" s="138"/>
      <c r="M37" s="140" t="s">
        <v>283</v>
      </c>
      <c r="N37" s="140"/>
      <c r="O37" s="140"/>
      <c r="P37" s="141"/>
      <c r="R37" s="23"/>
      <c r="S37" s="24"/>
      <c r="T37" s="21"/>
      <c r="W37" t="s">
        <v>84</v>
      </c>
    </row>
    <row r="38" spans="1:23" ht="31.9" customHeight="1" x14ac:dyDescent="0.25">
      <c r="A38" s="142" t="s">
        <v>24</v>
      </c>
      <c r="B38" s="143"/>
      <c r="C38" s="143"/>
      <c r="D38" s="144" t="s">
        <v>284</v>
      </c>
      <c r="E38" s="144"/>
      <c r="F38" s="144"/>
      <c r="G38" s="143" t="s">
        <v>25</v>
      </c>
      <c r="H38" s="143"/>
      <c r="I38" s="143"/>
      <c r="J38" s="143"/>
      <c r="K38" s="143"/>
      <c r="L38" s="143"/>
      <c r="M38" s="145" t="s">
        <v>282</v>
      </c>
      <c r="N38" s="145"/>
      <c r="O38" s="145"/>
      <c r="P38" s="146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36" t="s">
        <v>18</v>
      </c>
      <c r="B40" s="136"/>
      <c r="C40" s="136"/>
      <c r="D40" s="4"/>
      <c r="E40" s="4"/>
      <c r="F40" s="136" t="s">
        <v>19</v>
      </c>
      <c r="G40" s="136"/>
      <c r="H40" s="36"/>
      <c r="I40" s="36"/>
      <c r="J40" s="36"/>
      <c r="K40" s="4"/>
      <c r="L40" s="136" t="s">
        <v>20</v>
      </c>
      <c r="M40" s="136"/>
      <c r="N40" s="136"/>
      <c r="O40" s="136"/>
      <c r="P40" s="136"/>
      <c r="W40" t="s">
        <v>87</v>
      </c>
    </row>
    <row r="41" spans="1:23" ht="8.25" customHeight="1" x14ac:dyDescent="0.25"/>
    <row r="42" spans="1:23" ht="36.75" customHeight="1" x14ac:dyDescent="0.25">
      <c r="A42" s="37"/>
      <c r="B42" s="37"/>
      <c r="C42" s="37"/>
      <c r="D42" s="38" t="s">
        <v>27</v>
      </c>
      <c r="E42" s="38"/>
      <c r="F42" s="38"/>
      <c r="G42" s="38"/>
      <c r="H42" s="38"/>
      <c r="I42" s="38"/>
      <c r="J42" s="38"/>
      <c r="K42" s="38"/>
      <c r="L42" s="38"/>
      <c r="M42" s="39" t="str">
        <f>M2</f>
        <v>FORM STR 03
REVISION NO 01</v>
      </c>
      <c r="N42" s="39"/>
      <c r="O42" s="39"/>
      <c r="P42" s="39"/>
      <c r="Q42" s="10"/>
      <c r="W42" t="s">
        <v>111</v>
      </c>
    </row>
    <row r="43" spans="1:23" ht="22.15" customHeight="1" x14ac:dyDescent="0.25">
      <c r="A43" s="37"/>
      <c r="B43" s="37"/>
      <c r="C43" s="37"/>
      <c r="D43" s="38"/>
      <c r="E43" s="38"/>
      <c r="F43" s="38"/>
      <c r="G43" s="38"/>
      <c r="H43" s="38"/>
      <c r="I43" s="38"/>
      <c r="J43" s="38"/>
      <c r="K43" s="38"/>
      <c r="L43" s="38"/>
      <c r="M43" s="39"/>
      <c r="N43" s="39"/>
      <c r="O43" s="39"/>
      <c r="P43" s="39"/>
      <c r="Q43" s="10"/>
    </row>
    <row r="44" spans="1:23" ht="17.45" customHeight="1" x14ac:dyDescent="0.25">
      <c r="A44" s="40"/>
      <c r="B44" s="40"/>
      <c r="C44" s="40"/>
      <c r="D44" s="41" t="s">
        <v>21</v>
      </c>
      <c r="E44" s="41"/>
      <c r="F44" s="41"/>
      <c r="G44" s="41"/>
      <c r="H44" s="41"/>
      <c r="I44" s="41"/>
      <c r="J44" s="41"/>
      <c r="K44" s="41"/>
      <c r="L44" s="41"/>
      <c r="M44" s="11"/>
    </row>
    <row r="45" spans="1:23" ht="22.15" customHeight="1" thickBot="1" x14ac:dyDescent="0.35">
      <c r="A45" s="42"/>
      <c r="B45" s="42"/>
      <c r="C45" s="1"/>
      <c r="D45" s="43" t="s">
        <v>90</v>
      </c>
      <c r="E45" s="43"/>
      <c r="F45" s="43"/>
      <c r="G45" s="43"/>
      <c r="H45" s="43"/>
      <c r="I45" s="43"/>
      <c r="J45" s="43"/>
      <c r="K45" s="43"/>
      <c r="L45" s="43"/>
      <c r="M45" s="2"/>
      <c r="N45" s="37"/>
      <c r="O45" s="37"/>
      <c r="P45" s="37"/>
    </row>
    <row r="46" spans="1:23" ht="15.6" customHeight="1" thickBot="1" x14ac:dyDescent="0.35">
      <c r="A46" s="71" t="s">
        <v>9</v>
      </c>
      <c r="B46" s="72"/>
      <c r="C46" s="73" t="str">
        <f>C6</f>
        <v>O544</v>
      </c>
      <c r="D46" s="73"/>
      <c r="E46" s="73"/>
      <c r="F46" s="74"/>
      <c r="G46" s="2"/>
      <c r="H46" s="75" t="s">
        <v>4</v>
      </c>
      <c r="I46" s="76"/>
      <c r="J46" s="76"/>
      <c r="K46" s="8" t="s">
        <v>7</v>
      </c>
      <c r="L46" s="77" t="str">
        <f>L6</f>
        <v>JP 523805</v>
      </c>
      <c r="M46" s="77"/>
      <c r="N46" s="77"/>
      <c r="O46" s="77"/>
      <c r="P46" s="78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52" t="s">
        <v>5</v>
      </c>
      <c r="I47" s="53"/>
      <c r="J47" s="53"/>
      <c r="K47" s="9" t="s">
        <v>7</v>
      </c>
      <c r="L47" s="79">
        <f>L7</f>
        <v>45687</v>
      </c>
      <c r="M47" s="79"/>
      <c r="N47" s="79"/>
      <c r="O47" s="79"/>
      <c r="P47" s="80"/>
      <c r="R47" s="88"/>
      <c r="S47" s="88"/>
      <c r="T47" s="147"/>
      <c r="U47" s="26"/>
      <c r="V47" s="147"/>
    </row>
    <row r="48" spans="1:23" ht="18" customHeight="1" x14ac:dyDescent="0.3">
      <c r="A48" s="46" t="str">
        <f>A8</f>
        <v>Summit Alliance Port Limited (OCL).
Katghar, North Patenga, Chitagong.</v>
      </c>
      <c r="B48" s="47"/>
      <c r="C48" s="47"/>
      <c r="D48" s="47"/>
      <c r="E48" s="47"/>
      <c r="F48" s="48"/>
      <c r="G48" s="2"/>
      <c r="H48" s="52" t="s">
        <v>8</v>
      </c>
      <c r="I48" s="53"/>
      <c r="J48" s="53"/>
      <c r="K48" s="9" t="s">
        <v>7</v>
      </c>
      <c r="L48" s="54" t="str">
        <f>L8</f>
        <v>SEA</v>
      </c>
      <c r="M48" s="54"/>
      <c r="N48" s="54"/>
      <c r="O48" s="54"/>
      <c r="P48" s="55"/>
      <c r="R48" s="88"/>
      <c r="S48" s="88"/>
      <c r="T48" s="148"/>
      <c r="U48" s="26"/>
      <c r="V48" s="148"/>
    </row>
    <row r="49" spans="1:22" ht="17.45" customHeight="1" x14ac:dyDescent="0.3">
      <c r="A49" s="46"/>
      <c r="B49" s="47"/>
      <c r="C49" s="47"/>
      <c r="D49" s="47"/>
      <c r="E49" s="47"/>
      <c r="F49" s="48"/>
      <c r="G49" s="2"/>
      <c r="H49" s="56" t="s">
        <v>6</v>
      </c>
      <c r="I49" s="57"/>
      <c r="J49" s="57"/>
      <c r="K49" s="62" t="s">
        <v>7</v>
      </c>
      <c r="L49" s="65" t="str">
        <f>L9</f>
        <v>M/S. Kabir &amp; Co.
1104DT Road West Madarbari,
Chattogram, Bangladesh.</v>
      </c>
      <c r="M49" s="65"/>
      <c r="N49" s="65"/>
      <c r="O49" s="65"/>
      <c r="P49" s="66"/>
      <c r="R49" s="88"/>
      <c r="S49" s="88"/>
      <c r="T49" s="148"/>
      <c r="U49" s="26"/>
      <c r="V49" s="148"/>
    </row>
    <row r="50" spans="1:22" ht="18" thickBot="1" x14ac:dyDescent="0.35">
      <c r="A50" s="49"/>
      <c r="B50" s="50"/>
      <c r="C50" s="50"/>
      <c r="D50" s="50"/>
      <c r="E50" s="50"/>
      <c r="F50" s="51"/>
      <c r="G50" s="2"/>
      <c r="H50" s="58"/>
      <c r="I50" s="59"/>
      <c r="J50" s="59"/>
      <c r="K50" s="63"/>
      <c r="L50" s="67"/>
      <c r="M50" s="67"/>
      <c r="N50" s="67"/>
      <c r="O50" s="67"/>
      <c r="P50" s="68"/>
      <c r="R50" s="88"/>
      <c r="S50" s="88"/>
      <c r="T50" s="147"/>
      <c r="U50" s="26"/>
      <c r="V50" s="147"/>
    </row>
    <row r="51" spans="1:22" ht="18" customHeight="1" thickBot="1" x14ac:dyDescent="0.35">
      <c r="A51" s="42"/>
      <c r="B51" s="42"/>
      <c r="C51" s="1"/>
      <c r="D51" s="2"/>
      <c r="E51" s="2"/>
      <c r="F51" s="2"/>
      <c r="G51" s="2"/>
      <c r="H51" s="60"/>
      <c r="I51" s="61"/>
      <c r="J51" s="61"/>
      <c r="K51" s="64"/>
      <c r="L51" s="69"/>
      <c r="M51" s="69"/>
      <c r="N51" s="69"/>
      <c r="O51" s="69"/>
      <c r="P51" s="70"/>
      <c r="R51" s="88"/>
      <c r="S51" s="88"/>
      <c r="T51" s="147"/>
      <c r="U51" s="26"/>
      <c r="V51" s="148"/>
    </row>
    <row r="52" spans="1:22" ht="16.149999999999999" customHeight="1" x14ac:dyDescent="0.25">
      <c r="A52" s="103" t="s">
        <v>12</v>
      </c>
      <c r="B52" s="104"/>
      <c r="C52" s="105" t="s">
        <v>0</v>
      </c>
      <c r="D52" s="105"/>
      <c r="E52" s="105"/>
      <c r="F52" s="105"/>
      <c r="G52" s="105"/>
      <c r="H52" s="81" t="s">
        <v>1</v>
      </c>
      <c r="I52" s="82"/>
      <c r="J52" s="82"/>
      <c r="K52" s="82"/>
      <c r="L52" s="83"/>
      <c r="M52" s="84" t="s">
        <v>16</v>
      </c>
      <c r="N52" s="85"/>
      <c r="O52" s="86"/>
      <c r="P52" s="93" t="s">
        <v>3</v>
      </c>
      <c r="R52" s="88"/>
      <c r="S52" s="88"/>
      <c r="T52" s="147"/>
      <c r="U52" s="26"/>
      <c r="V52" s="148"/>
    </row>
    <row r="53" spans="1:22" ht="16.149999999999999" customHeight="1" x14ac:dyDescent="0.25">
      <c r="A53" s="3" t="s">
        <v>13</v>
      </c>
      <c r="B53" s="33">
        <f>B13</f>
        <v>0</v>
      </c>
      <c r="C53" s="96" t="str">
        <f>C13</f>
        <v>Delivery of Readymade Garments</v>
      </c>
      <c r="D53" s="96"/>
      <c r="E53" s="96"/>
      <c r="F53" s="96"/>
      <c r="G53" s="96"/>
      <c r="H53" s="97" t="s">
        <v>2</v>
      </c>
      <c r="I53" s="98"/>
      <c r="J53" s="99"/>
      <c r="K53" s="97" t="s">
        <v>15</v>
      </c>
      <c r="L53" s="99"/>
      <c r="M53" s="87"/>
      <c r="N53" s="88"/>
      <c r="O53" s="89"/>
      <c r="P53" s="94"/>
      <c r="R53" s="88"/>
      <c r="S53" s="88"/>
      <c r="T53" s="147"/>
      <c r="V53" s="147"/>
    </row>
    <row r="54" spans="1:22" ht="16.149999999999999" customHeight="1" thickBot="1" x14ac:dyDescent="0.3">
      <c r="A54" s="113" t="s">
        <v>11</v>
      </c>
      <c r="B54" s="114"/>
      <c r="C54" s="115" t="str">
        <f>C14</f>
        <v>H &amp; M</v>
      </c>
      <c r="D54" s="116"/>
      <c r="E54" s="117" t="s">
        <v>88</v>
      </c>
      <c r="F54" s="118"/>
      <c r="G54" s="114"/>
      <c r="H54" s="100"/>
      <c r="I54" s="101"/>
      <c r="J54" s="102"/>
      <c r="K54" s="100"/>
      <c r="L54" s="102"/>
      <c r="M54" s="90"/>
      <c r="N54" s="91"/>
      <c r="O54" s="92"/>
      <c r="P54" s="95"/>
      <c r="R54" s="88"/>
      <c r="S54" s="88"/>
      <c r="T54" s="147"/>
      <c r="V54" s="148"/>
    </row>
    <row r="55" spans="1:22" ht="25.15" customHeight="1" x14ac:dyDescent="0.25">
      <c r="A55" s="31">
        <f>A15</f>
        <v>0</v>
      </c>
      <c r="B55" s="119" t="str">
        <f>B15</f>
        <v>302565-7952</v>
      </c>
      <c r="C55" s="119"/>
      <c r="D55" s="119"/>
      <c r="E55" s="119"/>
      <c r="F55" s="119"/>
      <c r="G55" s="119"/>
      <c r="H55" s="120">
        <f>H15</f>
        <v>6</v>
      </c>
      <c r="I55" s="121"/>
      <c r="J55" s="122"/>
      <c r="K55" s="123">
        <f>K15</f>
        <v>420</v>
      </c>
      <c r="L55" s="124"/>
      <c r="M55" s="106" t="str">
        <f>M15</f>
        <v>IN</v>
      </c>
      <c r="N55" s="107"/>
      <c r="O55" s="108"/>
      <c r="P55" s="35">
        <f>P15</f>
        <v>0</v>
      </c>
      <c r="R55" s="88"/>
      <c r="S55" s="88"/>
      <c r="T55" s="147"/>
      <c r="V55" s="148"/>
    </row>
    <row r="56" spans="1:22" ht="25.15" customHeight="1" x14ac:dyDescent="0.25">
      <c r="A56" s="32">
        <f>A16</f>
        <v>0</v>
      </c>
      <c r="B56" s="109" t="str">
        <f>B16</f>
        <v>307361-5832</v>
      </c>
      <c r="C56" s="109"/>
      <c r="D56" s="109"/>
      <c r="E56" s="109"/>
      <c r="F56" s="109"/>
      <c r="G56" s="109"/>
      <c r="H56" s="110">
        <f>H16</f>
        <v>2</v>
      </c>
      <c r="I56" s="110"/>
      <c r="J56" s="110"/>
      <c r="K56" s="111">
        <f>K16</f>
        <v>175</v>
      </c>
      <c r="L56" s="111"/>
      <c r="M56" s="112" t="str">
        <f t="shared" ref="M56:M74" si="0">M16</f>
        <v>OIW243,OIW404</v>
      </c>
      <c r="N56" s="112"/>
      <c r="O56" s="112"/>
      <c r="P56" s="35">
        <f>P16</f>
        <v>0</v>
      </c>
      <c r="R56" s="88"/>
      <c r="S56" s="88"/>
      <c r="T56" s="67"/>
      <c r="V56" s="147"/>
    </row>
    <row r="57" spans="1:22" ht="25.15" customHeight="1" x14ac:dyDescent="0.25">
      <c r="A57" s="32">
        <f t="shared" ref="A57:B72" si="1">A17</f>
        <v>0</v>
      </c>
      <c r="B57" s="109">
        <f t="shared" si="1"/>
        <v>0</v>
      </c>
      <c r="C57" s="109"/>
      <c r="D57" s="109"/>
      <c r="E57" s="109"/>
      <c r="F57" s="109"/>
      <c r="G57" s="109"/>
      <c r="H57" s="110">
        <f>H17</f>
        <v>0</v>
      </c>
      <c r="I57" s="110"/>
      <c r="J57" s="110"/>
      <c r="K57" s="111">
        <f>K17</f>
        <v>0</v>
      </c>
      <c r="L57" s="111"/>
      <c r="M57" s="112">
        <f t="shared" si="0"/>
        <v>0</v>
      </c>
      <c r="N57" s="112"/>
      <c r="O57" s="112"/>
      <c r="P57" s="35">
        <f t="shared" ref="P57:P74" si="2">P17</f>
        <v>0</v>
      </c>
      <c r="R57" s="88"/>
      <c r="S57" s="88"/>
      <c r="T57" s="67"/>
      <c r="V57" s="148"/>
    </row>
    <row r="58" spans="1:22" ht="25.15" customHeight="1" x14ac:dyDescent="0.25">
      <c r="A58" s="32">
        <f t="shared" si="1"/>
        <v>0</v>
      </c>
      <c r="B58" s="109">
        <f t="shared" si="1"/>
        <v>0</v>
      </c>
      <c r="C58" s="109"/>
      <c r="D58" s="109"/>
      <c r="E58" s="109"/>
      <c r="F58" s="109"/>
      <c r="G58" s="109"/>
      <c r="H58" s="110">
        <f t="shared" ref="H58:H74" si="3">H18</f>
        <v>0</v>
      </c>
      <c r="I58" s="110"/>
      <c r="J58" s="110"/>
      <c r="K58" s="111">
        <f t="shared" ref="K58:K74" si="4">K18</f>
        <v>0</v>
      </c>
      <c r="L58" s="111"/>
      <c r="M58" s="112">
        <f t="shared" si="0"/>
        <v>0</v>
      </c>
      <c r="N58" s="112"/>
      <c r="O58" s="112"/>
      <c r="P58" s="35">
        <f t="shared" si="2"/>
        <v>0</v>
      </c>
      <c r="R58" s="88"/>
      <c r="S58" s="88"/>
      <c r="T58" s="67"/>
      <c r="V58" s="148"/>
    </row>
    <row r="59" spans="1:22" ht="25.15" customHeight="1" x14ac:dyDescent="0.25">
      <c r="A59" s="32">
        <f t="shared" si="1"/>
        <v>0</v>
      </c>
      <c r="B59" s="109">
        <f t="shared" si="1"/>
        <v>0</v>
      </c>
      <c r="C59" s="109"/>
      <c r="D59" s="109"/>
      <c r="E59" s="109"/>
      <c r="F59" s="109"/>
      <c r="G59" s="109"/>
      <c r="H59" s="110">
        <f t="shared" si="3"/>
        <v>0</v>
      </c>
      <c r="I59" s="110"/>
      <c r="J59" s="110"/>
      <c r="K59" s="111">
        <f t="shared" si="4"/>
        <v>0</v>
      </c>
      <c r="L59" s="111"/>
      <c r="M59" s="112">
        <f t="shared" si="0"/>
        <v>0</v>
      </c>
      <c r="N59" s="112"/>
      <c r="O59" s="112"/>
      <c r="P59" s="35">
        <f t="shared" si="2"/>
        <v>0</v>
      </c>
      <c r="R59" s="88"/>
      <c r="S59" s="88"/>
      <c r="T59" s="67"/>
      <c r="V59" s="147"/>
    </row>
    <row r="60" spans="1:22" ht="25.15" customHeight="1" x14ac:dyDescent="0.25">
      <c r="A60" s="32">
        <f t="shared" si="1"/>
        <v>0</v>
      </c>
      <c r="B60" s="109">
        <f t="shared" si="1"/>
        <v>0</v>
      </c>
      <c r="C60" s="109"/>
      <c r="D60" s="109"/>
      <c r="E60" s="109"/>
      <c r="F60" s="109"/>
      <c r="G60" s="109"/>
      <c r="H60" s="110">
        <f t="shared" si="3"/>
        <v>0</v>
      </c>
      <c r="I60" s="110"/>
      <c r="J60" s="110"/>
      <c r="K60" s="111">
        <f t="shared" si="4"/>
        <v>0</v>
      </c>
      <c r="L60" s="111"/>
      <c r="M60" s="112">
        <f t="shared" si="0"/>
        <v>0</v>
      </c>
      <c r="N60" s="112"/>
      <c r="O60" s="112"/>
      <c r="P60" s="35">
        <f t="shared" si="2"/>
        <v>0</v>
      </c>
      <c r="R60" s="88"/>
      <c r="S60" s="88"/>
      <c r="T60" s="67"/>
      <c r="V60" s="148"/>
    </row>
    <row r="61" spans="1:22" ht="25.15" customHeight="1" x14ac:dyDescent="0.25">
      <c r="A61" s="32">
        <f t="shared" si="1"/>
        <v>0</v>
      </c>
      <c r="B61" s="109">
        <f t="shared" si="1"/>
        <v>0</v>
      </c>
      <c r="C61" s="109"/>
      <c r="D61" s="109"/>
      <c r="E61" s="109"/>
      <c r="F61" s="109"/>
      <c r="G61" s="109"/>
      <c r="H61" s="110">
        <f t="shared" si="3"/>
        <v>0</v>
      </c>
      <c r="I61" s="110"/>
      <c r="J61" s="110"/>
      <c r="K61" s="111">
        <f t="shared" si="4"/>
        <v>0</v>
      </c>
      <c r="L61" s="111"/>
      <c r="M61" s="112">
        <f t="shared" si="0"/>
        <v>0</v>
      </c>
      <c r="N61" s="112"/>
      <c r="O61" s="112"/>
      <c r="P61" s="35">
        <f t="shared" si="2"/>
        <v>0</v>
      </c>
      <c r="R61" s="88"/>
      <c r="S61" s="88"/>
      <c r="T61" s="67"/>
      <c r="V61" s="148"/>
    </row>
    <row r="62" spans="1:22" ht="25.15" customHeight="1" x14ac:dyDescent="0.25">
      <c r="A62" s="32">
        <f t="shared" si="1"/>
        <v>0</v>
      </c>
      <c r="B62" s="109">
        <f t="shared" si="1"/>
        <v>0</v>
      </c>
      <c r="C62" s="109"/>
      <c r="D62" s="109"/>
      <c r="E62" s="109"/>
      <c r="F62" s="109"/>
      <c r="G62" s="109"/>
      <c r="H62" s="110">
        <f t="shared" si="3"/>
        <v>0</v>
      </c>
      <c r="I62" s="110"/>
      <c r="J62" s="110"/>
      <c r="K62" s="111">
        <f t="shared" si="4"/>
        <v>0</v>
      </c>
      <c r="L62" s="111"/>
      <c r="M62" s="112">
        <f t="shared" si="0"/>
        <v>0</v>
      </c>
      <c r="N62" s="112"/>
      <c r="O62" s="112"/>
      <c r="P62" s="35">
        <f t="shared" si="2"/>
        <v>0</v>
      </c>
      <c r="R62" s="88"/>
      <c r="S62" s="88"/>
      <c r="T62" s="67"/>
    </row>
    <row r="63" spans="1:22" ht="25.15" customHeight="1" x14ac:dyDescent="0.25">
      <c r="A63" s="32">
        <f t="shared" si="1"/>
        <v>0</v>
      </c>
      <c r="B63" s="109">
        <f t="shared" si="1"/>
        <v>0</v>
      </c>
      <c r="C63" s="109"/>
      <c r="D63" s="109"/>
      <c r="E63" s="109"/>
      <c r="F63" s="109"/>
      <c r="G63" s="109"/>
      <c r="H63" s="110">
        <f t="shared" si="3"/>
        <v>0</v>
      </c>
      <c r="I63" s="110"/>
      <c r="J63" s="110"/>
      <c r="K63" s="111">
        <f t="shared" si="4"/>
        <v>0</v>
      </c>
      <c r="L63" s="111"/>
      <c r="M63" s="112">
        <f t="shared" si="0"/>
        <v>0</v>
      </c>
      <c r="N63" s="112"/>
      <c r="O63" s="112"/>
      <c r="P63" s="35">
        <f t="shared" si="2"/>
        <v>0</v>
      </c>
      <c r="R63" s="88"/>
      <c r="S63" s="88"/>
      <c r="T63" s="67"/>
    </row>
    <row r="64" spans="1:22" ht="25.15" customHeight="1" x14ac:dyDescent="0.25">
      <c r="A64" s="32">
        <f t="shared" si="1"/>
        <v>0</v>
      </c>
      <c r="B64" s="109">
        <f t="shared" si="1"/>
        <v>0</v>
      </c>
      <c r="C64" s="109"/>
      <c r="D64" s="109"/>
      <c r="E64" s="109"/>
      <c r="F64" s="109"/>
      <c r="G64" s="109"/>
      <c r="H64" s="110">
        <f t="shared" si="3"/>
        <v>0</v>
      </c>
      <c r="I64" s="110"/>
      <c r="J64" s="110"/>
      <c r="K64" s="111">
        <f t="shared" si="4"/>
        <v>0</v>
      </c>
      <c r="L64" s="111"/>
      <c r="M64" s="112">
        <f t="shared" si="0"/>
        <v>0</v>
      </c>
      <c r="N64" s="112"/>
      <c r="O64" s="112"/>
      <c r="P64" s="35">
        <f t="shared" si="2"/>
        <v>0</v>
      </c>
      <c r="R64" s="88"/>
      <c r="S64" s="88"/>
      <c r="T64" s="67"/>
    </row>
    <row r="65" spans="1:20" ht="25.15" customHeight="1" x14ac:dyDescent="0.25">
      <c r="A65" s="32">
        <f t="shared" si="1"/>
        <v>0</v>
      </c>
      <c r="B65" s="109">
        <f t="shared" si="1"/>
        <v>0</v>
      </c>
      <c r="C65" s="109"/>
      <c r="D65" s="109"/>
      <c r="E65" s="109"/>
      <c r="F65" s="109"/>
      <c r="G65" s="109"/>
      <c r="H65" s="110">
        <f t="shared" si="3"/>
        <v>0</v>
      </c>
      <c r="I65" s="110"/>
      <c r="J65" s="110"/>
      <c r="K65" s="111">
        <f t="shared" si="4"/>
        <v>0</v>
      </c>
      <c r="L65" s="111"/>
      <c r="M65" s="112">
        <f t="shared" si="0"/>
        <v>0</v>
      </c>
      <c r="N65" s="112"/>
      <c r="O65" s="112"/>
      <c r="P65" s="35">
        <f t="shared" si="2"/>
        <v>0</v>
      </c>
      <c r="R65" s="88"/>
      <c r="S65" s="88"/>
      <c r="T65" s="67"/>
    </row>
    <row r="66" spans="1:20" ht="25.15" customHeight="1" x14ac:dyDescent="0.25">
      <c r="A66" s="32">
        <f t="shared" si="1"/>
        <v>0</v>
      </c>
      <c r="B66" s="109">
        <f t="shared" si="1"/>
        <v>0</v>
      </c>
      <c r="C66" s="109"/>
      <c r="D66" s="109"/>
      <c r="E66" s="109"/>
      <c r="F66" s="109"/>
      <c r="G66" s="109"/>
      <c r="H66" s="110">
        <f t="shared" si="3"/>
        <v>0</v>
      </c>
      <c r="I66" s="110"/>
      <c r="J66" s="110"/>
      <c r="K66" s="111">
        <f t="shared" si="4"/>
        <v>0</v>
      </c>
      <c r="L66" s="111"/>
      <c r="M66" s="112">
        <f t="shared" si="0"/>
        <v>0</v>
      </c>
      <c r="N66" s="112"/>
      <c r="O66" s="112"/>
      <c r="P66" s="35">
        <f t="shared" si="2"/>
        <v>0</v>
      </c>
      <c r="R66" s="88"/>
      <c r="S66" s="88"/>
      <c r="T66" s="67"/>
    </row>
    <row r="67" spans="1:20" ht="25.15" customHeight="1" x14ac:dyDescent="0.25">
      <c r="A67" s="32">
        <f t="shared" si="1"/>
        <v>0</v>
      </c>
      <c r="B67" s="109">
        <f t="shared" si="1"/>
        <v>0</v>
      </c>
      <c r="C67" s="109"/>
      <c r="D67" s="109"/>
      <c r="E67" s="109"/>
      <c r="F67" s="109"/>
      <c r="G67" s="109"/>
      <c r="H67" s="110">
        <f t="shared" si="3"/>
        <v>0</v>
      </c>
      <c r="I67" s="110"/>
      <c r="J67" s="110"/>
      <c r="K67" s="111">
        <f t="shared" si="4"/>
        <v>0</v>
      </c>
      <c r="L67" s="111"/>
      <c r="M67" s="112">
        <f t="shared" si="0"/>
        <v>0</v>
      </c>
      <c r="N67" s="112"/>
      <c r="O67" s="112"/>
      <c r="P67" s="35">
        <f t="shared" si="2"/>
        <v>0</v>
      </c>
      <c r="R67" s="88"/>
      <c r="S67" s="88"/>
      <c r="T67" s="67"/>
    </row>
    <row r="68" spans="1:20" ht="25.15" customHeight="1" x14ac:dyDescent="0.25">
      <c r="A68" s="32">
        <f t="shared" si="1"/>
        <v>0</v>
      </c>
      <c r="B68" s="109">
        <f t="shared" si="1"/>
        <v>0</v>
      </c>
      <c r="C68" s="109"/>
      <c r="D68" s="109"/>
      <c r="E68" s="109"/>
      <c r="F68" s="109"/>
      <c r="G68" s="109"/>
      <c r="H68" s="110">
        <f t="shared" si="3"/>
        <v>0</v>
      </c>
      <c r="I68" s="110"/>
      <c r="J68" s="110"/>
      <c r="K68" s="111">
        <f t="shared" si="4"/>
        <v>0</v>
      </c>
      <c r="L68" s="111"/>
      <c r="M68" s="112">
        <f t="shared" si="0"/>
        <v>0</v>
      </c>
      <c r="N68" s="112"/>
      <c r="O68" s="112"/>
      <c r="P68" s="35">
        <f t="shared" si="2"/>
        <v>0</v>
      </c>
      <c r="R68" s="88"/>
      <c r="S68" s="88"/>
      <c r="T68" s="67"/>
    </row>
    <row r="69" spans="1:20" ht="25.15" customHeight="1" x14ac:dyDescent="0.25">
      <c r="A69" s="32">
        <f t="shared" si="1"/>
        <v>0</v>
      </c>
      <c r="B69" s="109">
        <f t="shared" si="1"/>
        <v>0</v>
      </c>
      <c r="C69" s="109"/>
      <c r="D69" s="109"/>
      <c r="E69" s="109"/>
      <c r="F69" s="109"/>
      <c r="G69" s="109"/>
      <c r="H69" s="110">
        <f t="shared" si="3"/>
        <v>0</v>
      </c>
      <c r="I69" s="110"/>
      <c r="J69" s="110"/>
      <c r="K69" s="111">
        <f t="shared" si="4"/>
        <v>0</v>
      </c>
      <c r="L69" s="111"/>
      <c r="M69" s="112">
        <f t="shared" si="0"/>
        <v>0</v>
      </c>
      <c r="N69" s="112"/>
      <c r="O69" s="112"/>
      <c r="P69" s="35">
        <f t="shared" si="2"/>
        <v>0</v>
      </c>
      <c r="R69" s="88"/>
      <c r="S69" s="88"/>
      <c r="T69" s="67"/>
    </row>
    <row r="70" spans="1:20" ht="25.15" customHeight="1" x14ac:dyDescent="0.25">
      <c r="A70" s="32">
        <f t="shared" si="1"/>
        <v>0</v>
      </c>
      <c r="B70" s="109">
        <f t="shared" si="1"/>
        <v>0</v>
      </c>
      <c r="C70" s="109"/>
      <c r="D70" s="109"/>
      <c r="E70" s="109"/>
      <c r="F70" s="109"/>
      <c r="G70" s="109"/>
      <c r="H70" s="110">
        <f t="shared" si="3"/>
        <v>0</v>
      </c>
      <c r="I70" s="110"/>
      <c r="J70" s="110"/>
      <c r="K70" s="111">
        <f t="shared" si="4"/>
        <v>0</v>
      </c>
      <c r="L70" s="111"/>
      <c r="M70" s="112">
        <f t="shared" si="0"/>
        <v>0</v>
      </c>
      <c r="N70" s="112"/>
      <c r="O70" s="112"/>
      <c r="P70" s="35">
        <f t="shared" si="2"/>
        <v>0</v>
      </c>
      <c r="R70" s="88"/>
      <c r="S70" s="88"/>
      <c r="T70" s="67"/>
    </row>
    <row r="71" spans="1:20" ht="25.15" customHeight="1" x14ac:dyDescent="0.25">
      <c r="A71" s="32">
        <f t="shared" si="1"/>
        <v>0</v>
      </c>
      <c r="B71" s="109">
        <f t="shared" si="1"/>
        <v>0</v>
      </c>
      <c r="C71" s="109"/>
      <c r="D71" s="109"/>
      <c r="E71" s="109"/>
      <c r="F71" s="109"/>
      <c r="G71" s="109"/>
      <c r="H71" s="110">
        <f t="shared" si="3"/>
        <v>0</v>
      </c>
      <c r="I71" s="110"/>
      <c r="J71" s="110"/>
      <c r="K71" s="111">
        <f t="shared" si="4"/>
        <v>0</v>
      </c>
      <c r="L71" s="111"/>
      <c r="M71" s="112">
        <f t="shared" si="0"/>
        <v>0</v>
      </c>
      <c r="N71" s="112"/>
      <c r="O71" s="112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09">
        <f t="shared" si="1"/>
        <v>0</v>
      </c>
      <c r="C72" s="109"/>
      <c r="D72" s="109"/>
      <c r="E72" s="109"/>
      <c r="F72" s="109"/>
      <c r="G72" s="109"/>
      <c r="H72" s="110">
        <f t="shared" si="3"/>
        <v>0</v>
      </c>
      <c r="I72" s="110"/>
      <c r="J72" s="110"/>
      <c r="K72" s="111">
        <f t="shared" si="4"/>
        <v>0</v>
      </c>
      <c r="L72" s="111"/>
      <c r="M72" s="112">
        <f t="shared" si="0"/>
        <v>0</v>
      </c>
      <c r="N72" s="112"/>
      <c r="O72" s="112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09">
        <f t="shared" si="5"/>
        <v>0</v>
      </c>
      <c r="C73" s="109"/>
      <c r="D73" s="109"/>
      <c r="E73" s="109"/>
      <c r="F73" s="109"/>
      <c r="G73" s="109"/>
      <c r="H73" s="110">
        <f t="shared" si="3"/>
        <v>0</v>
      </c>
      <c r="I73" s="110"/>
      <c r="J73" s="110"/>
      <c r="K73" s="111">
        <f t="shared" si="4"/>
        <v>0</v>
      </c>
      <c r="L73" s="111"/>
      <c r="M73" s="112">
        <f t="shared" si="0"/>
        <v>0</v>
      </c>
      <c r="N73" s="112"/>
      <c r="O73" s="112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09">
        <f t="shared" si="5"/>
        <v>0</v>
      </c>
      <c r="C74" s="109"/>
      <c r="D74" s="109"/>
      <c r="E74" s="109"/>
      <c r="F74" s="109"/>
      <c r="G74" s="109"/>
      <c r="H74" s="110">
        <f t="shared" si="3"/>
        <v>0</v>
      </c>
      <c r="I74" s="110"/>
      <c r="J74" s="110"/>
      <c r="K74" s="111">
        <f t="shared" si="4"/>
        <v>0</v>
      </c>
      <c r="L74" s="111"/>
      <c r="M74" s="112">
        <f t="shared" si="0"/>
        <v>0</v>
      </c>
      <c r="N74" s="112"/>
      <c r="O74" s="112"/>
      <c r="P74" s="35">
        <f t="shared" si="2"/>
        <v>0</v>
      </c>
    </row>
    <row r="75" spans="1:20" ht="21.95" customHeight="1" thickBot="1" x14ac:dyDescent="0.3">
      <c r="A75" s="126" t="s">
        <v>17</v>
      </c>
      <c r="B75" s="127"/>
      <c r="C75" s="127"/>
      <c r="D75" s="127"/>
      <c r="E75" s="127"/>
      <c r="F75" s="127"/>
      <c r="G75" s="116"/>
      <c r="H75" s="128">
        <f>SUM(H55:J74)</f>
        <v>8</v>
      </c>
      <c r="I75" s="129"/>
      <c r="J75" s="130"/>
      <c r="K75" s="131">
        <f>SUM(K55:L74)</f>
        <v>595</v>
      </c>
      <c r="L75" s="132"/>
      <c r="M75" s="133"/>
      <c r="N75" s="134"/>
      <c r="O75" s="135"/>
      <c r="P75" s="19"/>
    </row>
    <row r="77" spans="1:20" ht="31.9" customHeight="1" x14ac:dyDescent="0.25">
      <c r="A77" s="137" t="s">
        <v>22</v>
      </c>
      <c r="B77" s="138"/>
      <c r="C77" s="138"/>
      <c r="D77" s="139" t="str">
        <f>D37</f>
        <v>MD.AMANULLA</v>
      </c>
      <c r="E77" s="139"/>
      <c r="F77" s="139"/>
      <c r="G77" s="138" t="s">
        <v>23</v>
      </c>
      <c r="H77" s="138"/>
      <c r="I77" s="138"/>
      <c r="J77" s="138"/>
      <c r="K77" s="138"/>
      <c r="L77" s="138"/>
      <c r="M77" s="140" t="str">
        <f>M37</f>
        <v>01718-019525</v>
      </c>
      <c r="N77" s="140"/>
      <c r="O77" s="140"/>
      <c r="P77" s="141"/>
    </row>
    <row r="78" spans="1:20" ht="31.9" customHeight="1" x14ac:dyDescent="0.25">
      <c r="A78" s="142" t="s">
        <v>24</v>
      </c>
      <c r="B78" s="143"/>
      <c r="C78" s="143"/>
      <c r="D78" s="144" t="str">
        <f>D38</f>
        <v>OOO1</v>
      </c>
      <c r="E78" s="144"/>
      <c r="F78" s="144"/>
      <c r="G78" s="143" t="s">
        <v>25</v>
      </c>
      <c r="H78" s="143"/>
      <c r="I78" s="143"/>
      <c r="J78" s="143"/>
      <c r="K78" s="143"/>
      <c r="L78" s="143"/>
      <c r="M78" s="145" t="str">
        <f>M38</f>
        <v>D.M.TA 20-7316</v>
      </c>
      <c r="N78" s="145"/>
      <c r="O78" s="145"/>
      <c r="P78" s="146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36" t="s">
        <v>18</v>
      </c>
      <c r="B80" s="136"/>
      <c r="C80" s="136"/>
      <c r="D80" s="4"/>
      <c r="E80" s="4"/>
      <c r="F80" s="136" t="s">
        <v>19</v>
      </c>
      <c r="G80" s="136"/>
      <c r="H80" s="36"/>
      <c r="I80" s="36"/>
      <c r="J80" s="36"/>
      <c r="K80" s="4"/>
      <c r="L80" s="136" t="s">
        <v>20</v>
      </c>
      <c r="M80" s="136"/>
      <c r="N80" s="136"/>
      <c r="O80" s="136"/>
      <c r="P80" s="136"/>
    </row>
    <row r="81" spans="1:22" ht="8.25" customHeight="1" x14ac:dyDescent="0.25"/>
    <row r="82" spans="1:22" ht="36.75" customHeight="1" x14ac:dyDescent="0.25">
      <c r="A82" s="37"/>
      <c r="B82" s="37"/>
      <c r="C82" s="37"/>
      <c r="D82" s="38" t="s">
        <v>27</v>
      </c>
      <c r="E82" s="38"/>
      <c r="F82" s="38"/>
      <c r="G82" s="38"/>
      <c r="H82" s="38"/>
      <c r="I82" s="38"/>
      <c r="J82" s="38"/>
      <c r="K82" s="38"/>
      <c r="L82" s="38"/>
      <c r="M82" s="39" t="str">
        <f>M42</f>
        <v>FORM STR 03
REVISION NO 01</v>
      </c>
      <c r="N82" s="39"/>
      <c r="O82" s="39"/>
      <c r="P82" s="39"/>
      <c r="Q82" s="10"/>
    </row>
    <row r="83" spans="1:22" ht="22.15" customHeight="1" x14ac:dyDescent="0.25">
      <c r="A83" s="37"/>
      <c r="B83" s="37"/>
      <c r="C83" s="37"/>
      <c r="D83" s="38"/>
      <c r="E83" s="38"/>
      <c r="F83" s="38"/>
      <c r="G83" s="38"/>
      <c r="H83" s="38"/>
      <c r="I83" s="38"/>
      <c r="J83" s="38"/>
      <c r="K83" s="38"/>
      <c r="L83" s="38"/>
      <c r="M83" s="39"/>
      <c r="N83" s="39"/>
      <c r="O83" s="39"/>
      <c r="P83" s="39"/>
      <c r="Q83" s="10"/>
    </row>
    <row r="84" spans="1:22" ht="17.45" customHeight="1" x14ac:dyDescent="0.25">
      <c r="A84" s="40"/>
      <c r="B84" s="40"/>
      <c r="C84" s="40"/>
      <c r="D84" s="41" t="s">
        <v>21</v>
      </c>
      <c r="E84" s="41"/>
      <c r="F84" s="41"/>
      <c r="G84" s="41"/>
      <c r="H84" s="41"/>
      <c r="I84" s="41"/>
      <c r="J84" s="41"/>
      <c r="K84" s="41"/>
      <c r="L84" s="41"/>
      <c r="M84" s="11"/>
    </row>
    <row r="85" spans="1:22" ht="22.15" customHeight="1" thickBot="1" x14ac:dyDescent="0.35">
      <c r="A85" s="42"/>
      <c r="B85" s="42"/>
      <c r="C85" s="1"/>
      <c r="D85" s="43" t="s">
        <v>91</v>
      </c>
      <c r="E85" s="43"/>
      <c r="F85" s="43"/>
      <c r="G85" s="43"/>
      <c r="H85" s="43"/>
      <c r="I85" s="43"/>
      <c r="J85" s="43"/>
      <c r="K85" s="43"/>
      <c r="L85" s="43"/>
      <c r="M85" s="2"/>
      <c r="N85" s="37"/>
      <c r="O85" s="37"/>
      <c r="P85" s="37"/>
    </row>
    <row r="86" spans="1:22" ht="15.6" customHeight="1" thickBot="1" x14ac:dyDescent="0.35">
      <c r="A86" s="71" t="s">
        <v>9</v>
      </c>
      <c r="B86" s="72"/>
      <c r="C86" s="73" t="str">
        <f>C46</f>
        <v>O544</v>
      </c>
      <c r="D86" s="73"/>
      <c r="E86" s="73"/>
      <c r="F86" s="74"/>
      <c r="G86" s="2"/>
      <c r="H86" s="75" t="s">
        <v>4</v>
      </c>
      <c r="I86" s="76"/>
      <c r="J86" s="76"/>
      <c r="K86" s="8" t="s">
        <v>7</v>
      </c>
      <c r="L86" s="77" t="str">
        <f>L46</f>
        <v>JP 523805</v>
      </c>
      <c r="M86" s="77"/>
      <c r="N86" s="77"/>
      <c r="O86" s="77"/>
      <c r="P86" s="78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52" t="s">
        <v>5</v>
      </c>
      <c r="I87" s="53"/>
      <c r="J87" s="53"/>
      <c r="K87" s="9" t="s">
        <v>7</v>
      </c>
      <c r="L87" s="79">
        <f>L47</f>
        <v>45687</v>
      </c>
      <c r="M87" s="79"/>
      <c r="N87" s="79"/>
      <c r="O87" s="79"/>
      <c r="P87" s="80"/>
      <c r="R87" s="88"/>
      <c r="S87" s="88"/>
      <c r="T87" s="147"/>
      <c r="U87" s="26"/>
      <c r="V87" s="147"/>
    </row>
    <row r="88" spans="1:22" ht="18" customHeight="1" x14ac:dyDescent="0.3">
      <c r="A88" s="46" t="str">
        <f>A48</f>
        <v>Summit Alliance Port Limited (OCL).
Katghar, North Patenga, Chitagong.</v>
      </c>
      <c r="B88" s="47"/>
      <c r="C88" s="47"/>
      <c r="D88" s="47"/>
      <c r="E88" s="47"/>
      <c r="F88" s="48"/>
      <c r="G88" s="2"/>
      <c r="H88" s="52" t="s">
        <v>8</v>
      </c>
      <c r="I88" s="53"/>
      <c r="J88" s="53"/>
      <c r="K88" s="9" t="s">
        <v>7</v>
      </c>
      <c r="L88" s="54" t="str">
        <f>L48</f>
        <v>SEA</v>
      </c>
      <c r="M88" s="54"/>
      <c r="N88" s="54"/>
      <c r="O88" s="54"/>
      <c r="P88" s="55"/>
      <c r="R88" s="88"/>
      <c r="S88" s="88"/>
      <c r="T88" s="148"/>
      <c r="U88" s="26"/>
      <c r="V88" s="148"/>
    </row>
    <row r="89" spans="1:22" ht="17.45" customHeight="1" x14ac:dyDescent="0.3">
      <c r="A89" s="46"/>
      <c r="B89" s="47"/>
      <c r="C89" s="47"/>
      <c r="D89" s="47"/>
      <c r="E89" s="47"/>
      <c r="F89" s="48"/>
      <c r="G89" s="2"/>
      <c r="H89" s="56" t="s">
        <v>6</v>
      </c>
      <c r="I89" s="57"/>
      <c r="J89" s="57"/>
      <c r="K89" s="62" t="s">
        <v>7</v>
      </c>
      <c r="L89" s="65" t="str">
        <f>L49</f>
        <v>M/S. Kabir &amp; Co.
1104DT Road West Madarbari,
Chattogram, Bangladesh.</v>
      </c>
      <c r="M89" s="65"/>
      <c r="N89" s="65"/>
      <c r="O89" s="65"/>
      <c r="P89" s="66"/>
      <c r="R89" s="88"/>
      <c r="S89" s="88"/>
      <c r="T89" s="148"/>
      <c r="U89" s="26"/>
      <c r="V89" s="148"/>
    </row>
    <row r="90" spans="1:22" ht="18" thickBot="1" x14ac:dyDescent="0.35">
      <c r="A90" s="49"/>
      <c r="B90" s="50"/>
      <c r="C90" s="50"/>
      <c r="D90" s="50"/>
      <c r="E90" s="50"/>
      <c r="F90" s="51"/>
      <c r="G90" s="2"/>
      <c r="H90" s="58"/>
      <c r="I90" s="59"/>
      <c r="J90" s="59"/>
      <c r="K90" s="63"/>
      <c r="L90" s="67"/>
      <c r="M90" s="67"/>
      <c r="N90" s="67"/>
      <c r="O90" s="67"/>
      <c r="P90" s="68"/>
      <c r="R90" s="88"/>
      <c r="S90" s="88"/>
      <c r="T90" s="147"/>
      <c r="U90" s="26"/>
      <c r="V90" s="147"/>
    </row>
    <row r="91" spans="1:22" ht="18" customHeight="1" thickBot="1" x14ac:dyDescent="0.35">
      <c r="A91" s="42"/>
      <c r="B91" s="42"/>
      <c r="C91" s="1"/>
      <c r="D91" s="2"/>
      <c r="E91" s="2"/>
      <c r="F91" s="2"/>
      <c r="G91" s="2"/>
      <c r="H91" s="60"/>
      <c r="I91" s="61"/>
      <c r="J91" s="61"/>
      <c r="K91" s="64"/>
      <c r="L91" s="69"/>
      <c r="M91" s="69"/>
      <c r="N91" s="69"/>
      <c r="O91" s="69"/>
      <c r="P91" s="70"/>
      <c r="R91" s="88"/>
      <c r="S91" s="88"/>
      <c r="T91" s="147"/>
      <c r="U91" s="26"/>
      <c r="V91" s="148"/>
    </row>
    <row r="92" spans="1:22" ht="16.149999999999999" customHeight="1" x14ac:dyDescent="0.25">
      <c r="A92" s="103" t="s">
        <v>12</v>
      </c>
      <c r="B92" s="104"/>
      <c r="C92" s="105" t="s">
        <v>0</v>
      </c>
      <c r="D92" s="105"/>
      <c r="E92" s="105"/>
      <c r="F92" s="105"/>
      <c r="G92" s="105"/>
      <c r="H92" s="81" t="s">
        <v>1</v>
      </c>
      <c r="I92" s="82"/>
      <c r="J92" s="82"/>
      <c r="K92" s="82"/>
      <c r="L92" s="83"/>
      <c r="M92" s="84" t="s">
        <v>16</v>
      </c>
      <c r="N92" s="85"/>
      <c r="O92" s="86"/>
      <c r="P92" s="93" t="s">
        <v>3</v>
      </c>
      <c r="R92" s="88"/>
      <c r="S92" s="88"/>
      <c r="T92" s="147"/>
      <c r="U92" s="26"/>
      <c r="V92" s="148"/>
    </row>
    <row r="93" spans="1:22" ht="16.149999999999999" customHeight="1" x14ac:dyDescent="0.25">
      <c r="A93" s="3" t="s">
        <v>13</v>
      </c>
      <c r="B93" s="33">
        <f>B53</f>
        <v>0</v>
      </c>
      <c r="C93" s="96" t="str">
        <f>C53</f>
        <v>Delivery of Readymade Garments</v>
      </c>
      <c r="D93" s="96"/>
      <c r="E93" s="96"/>
      <c r="F93" s="96"/>
      <c r="G93" s="96"/>
      <c r="H93" s="97" t="s">
        <v>2</v>
      </c>
      <c r="I93" s="98"/>
      <c r="J93" s="99"/>
      <c r="K93" s="97" t="s">
        <v>15</v>
      </c>
      <c r="L93" s="99"/>
      <c r="M93" s="87"/>
      <c r="N93" s="88"/>
      <c r="O93" s="89"/>
      <c r="P93" s="94"/>
      <c r="R93" s="88"/>
      <c r="S93" s="88"/>
      <c r="T93" s="147"/>
      <c r="V93" s="147"/>
    </row>
    <row r="94" spans="1:22" ht="16.149999999999999" customHeight="1" thickBot="1" x14ac:dyDescent="0.3">
      <c r="A94" s="113" t="s">
        <v>11</v>
      </c>
      <c r="B94" s="114"/>
      <c r="C94" s="115" t="str">
        <f>C54</f>
        <v>H &amp; M</v>
      </c>
      <c r="D94" s="116"/>
      <c r="E94" s="117" t="s">
        <v>88</v>
      </c>
      <c r="F94" s="118"/>
      <c r="G94" s="114"/>
      <c r="H94" s="100"/>
      <c r="I94" s="101"/>
      <c r="J94" s="102"/>
      <c r="K94" s="100"/>
      <c r="L94" s="102"/>
      <c r="M94" s="90"/>
      <c r="N94" s="91"/>
      <c r="O94" s="92"/>
      <c r="P94" s="95"/>
      <c r="R94" s="88"/>
      <c r="S94" s="88"/>
      <c r="T94" s="147"/>
      <c r="V94" s="148"/>
    </row>
    <row r="95" spans="1:22" ht="25.15" customHeight="1" x14ac:dyDescent="0.25">
      <c r="A95" s="31">
        <f>A55</f>
        <v>0</v>
      </c>
      <c r="B95" s="119" t="str">
        <f>B55</f>
        <v>302565-7952</v>
      </c>
      <c r="C95" s="119"/>
      <c r="D95" s="119"/>
      <c r="E95" s="119"/>
      <c r="F95" s="119"/>
      <c r="G95" s="119"/>
      <c r="H95" s="120">
        <f>H55</f>
        <v>6</v>
      </c>
      <c r="I95" s="121"/>
      <c r="J95" s="122"/>
      <c r="K95" s="123">
        <f>K55</f>
        <v>420</v>
      </c>
      <c r="L95" s="124"/>
      <c r="M95" s="106" t="str">
        <f>M55</f>
        <v>IN</v>
      </c>
      <c r="N95" s="107"/>
      <c r="O95" s="108"/>
      <c r="P95" s="34">
        <f>P55</f>
        <v>0</v>
      </c>
      <c r="R95" s="88"/>
      <c r="S95" s="88"/>
      <c r="T95" s="147"/>
      <c r="V95" s="148"/>
    </row>
    <row r="96" spans="1:22" ht="25.15" customHeight="1" x14ac:dyDescent="0.25">
      <c r="A96" s="32">
        <f>A56</f>
        <v>0</v>
      </c>
      <c r="B96" s="109" t="str">
        <f>B56</f>
        <v>307361-5832</v>
      </c>
      <c r="C96" s="109"/>
      <c r="D96" s="109"/>
      <c r="E96" s="109"/>
      <c r="F96" s="109"/>
      <c r="G96" s="109"/>
      <c r="H96" s="110">
        <f>H56</f>
        <v>2</v>
      </c>
      <c r="I96" s="110"/>
      <c r="J96" s="110"/>
      <c r="K96" s="111">
        <f>K56</f>
        <v>175</v>
      </c>
      <c r="L96" s="111"/>
      <c r="M96" s="112" t="str">
        <f>M56</f>
        <v>OIW243,OIW404</v>
      </c>
      <c r="N96" s="112"/>
      <c r="O96" s="112"/>
      <c r="P96" s="35">
        <f>P56</f>
        <v>0</v>
      </c>
      <c r="R96" s="88"/>
      <c r="S96" s="88"/>
      <c r="T96" s="67"/>
      <c r="V96" s="147"/>
    </row>
    <row r="97" spans="1:22" ht="25.15" customHeight="1" x14ac:dyDescent="0.25">
      <c r="A97" s="32">
        <f t="shared" ref="A97:B112" si="6">A57</f>
        <v>0</v>
      </c>
      <c r="B97" s="109">
        <f t="shared" si="6"/>
        <v>0</v>
      </c>
      <c r="C97" s="109"/>
      <c r="D97" s="109"/>
      <c r="E97" s="109"/>
      <c r="F97" s="109"/>
      <c r="G97" s="109"/>
      <c r="H97" s="110">
        <f>H57</f>
        <v>0</v>
      </c>
      <c r="I97" s="110"/>
      <c r="J97" s="110"/>
      <c r="K97" s="111">
        <f>K57</f>
        <v>0</v>
      </c>
      <c r="L97" s="111"/>
      <c r="M97" s="112">
        <f t="shared" ref="M97:M114" si="7">M57</f>
        <v>0</v>
      </c>
      <c r="N97" s="112"/>
      <c r="O97" s="112"/>
      <c r="P97" s="35">
        <f t="shared" ref="P97:P114" si="8">P57</f>
        <v>0</v>
      </c>
      <c r="R97" s="88"/>
      <c r="S97" s="88"/>
      <c r="T97" s="67"/>
      <c r="V97" s="148"/>
    </row>
    <row r="98" spans="1:22" ht="25.15" customHeight="1" x14ac:dyDescent="0.25">
      <c r="A98" s="32">
        <f t="shared" si="6"/>
        <v>0</v>
      </c>
      <c r="B98" s="109">
        <f t="shared" si="6"/>
        <v>0</v>
      </c>
      <c r="C98" s="109"/>
      <c r="D98" s="109"/>
      <c r="E98" s="109"/>
      <c r="F98" s="109"/>
      <c r="G98" s="109"/>
      <c r="H98" s="110">
        <f t="shared" ref="H98:H114" si="9">H58</f>
        <v>0</v>
      </c>
      <c r="I98" s="110"/>
      <c r="J98" s="110"/>
      <c r="K98" s="111">
        <f t="shared" ref="K98:K114" si="10">K58</f>
        <v>0</v>
      </c>
      <c r="L98" s="111"/>
      <c r="M98" s="112">
        <f t="shared" si="7"/>
        <v>0</v>
      </c>
      <c r="N98" s="112"/>
      <c r="O98" s="112"/>
      <c r="P98" s="35">
        <f t="shared" si="8"/>
        <v>0</v>
      </c>
      <c r="R98" s="88"/>
      <c r="S98" s="88"/>
      <c r="T98" s="67"/>
      <c r="V98" s="148"/>
    </row>
    <row r="99" spans="1:22" ht="25.15" customHeight="1" x14ac:dyDescent="0.25">
      <c r="A99" s="32">
        <f t="shared" si="6"/>
        <v>0</v>
      </c>
      <c r="B99" s="109">
        <f t="shared" si="6"/>
        <v>0</v>
      </c>
      <c r="C99" s="109"/>
      <c r="D99" s="109"/>
      <c r="E99" s="109"/>
      <c r="F99" s="109"/>
      <c r="G99" s="109"/>
      <c r="H99" s="110">
        <f t="shared" si="9"/>
        <v>0</v>
      </c>
      <c r="I99" s="110"/>
      <c r="J99" s="110"/>
      <c r="K99" s="111">
        <f t="shared" si="10"/>
        <v>0</v>
      </c>
      <c r="L99" s="111"/>
      <c r="M99" s="112">
        <f t="shared" si="7"/>
        <v>0</v>
      </c>
      <c r="N99" s="112"/>
      <c r="O99" s="112"/>
      <c r="P99" s="35">
        <f t="shared" si="8"/>
        <v>0</v>
      </c>
      <c r="R99" s="88"/>
      <c r="S99" s="88"/>
      <c r="T99" s="67"/>
      <c r="V99" s="147"/>
    </row>
    <row r="100" spans="1:22" ht="25.15" customHeight="1" x14ac:dyDescent="0.25">
      <c r="A100" s="32">
        <f t="shared" si="6"/>
        <v>0</v>
      </c>
      <c r="B100" s="109">
        <f t="shared" si="6"/>
        <v>0</v>
      </c>
      <c r="C100" s="109"/>
      <c r="D100" s="109"/>
      <c r="E100" s="109"/>
      <c r="F100" s="109"/>
      <c r="G100" s="109"/>
      <c r="H100" s="110">
        <f t="shared" si="9"/>
        <v>0</v>
      </c>
      <c r="I100" s="110"/>
      <c r="J100" s="110"/>
      <c r="K100" s="111">
        <f t="shared" si="10"/>
        <v>0</v>
      </c>
      <c r="L100" s="111"/>
      <c r="M100" s="112">
        <f t="shared" si="7"/>
        <v>0</v>
      </c>
      <c r="N100" s="112"/>
      <c r="O100" s="112"/>
      <c r="P100" s="35">
        <f t="shared" si="8"/>
        <v>0</v>
      </c>
      <c r="R100" s="88"/>
      <c r="S100" s="88"/>
      <c r="T100" s="67"/>
      <c r="V100" s="148"/>
    </row>
    <row r="101" spans="1:22" ht="25.15" customHeight="1" x14ac:dyDescent="0.25">
      <c r="A101" s="32">
        <f t="shared" si="6"/>
        <v>0</v>
      </c>
      <c r="B101" s="109">
        <f t="shared" si="6"/>
        <v>0</v>
      </c>
      <c r="C101" s="109"/>
      <c r="D101" s="109"/>
      <c r="E101" s="109"/>
      <c r="F101" s="109"/>
      <c r="G101" s="109"/>
      <c r="H101" s="110">
        <f t="shared" si="9"/>
        <v>0</v>
      </c>
      <c r="I101" s="110"/>
      <c r="J101" s="110"/>
      <c r="K101" s="111">
        <f t="shared" si="10"/>
        <v>0</v>
      </c>
      <c r="L101" s="111"/>
      <c r="M101" s="112">
        <f t="shared" si="7"/>
        <v>0</v>
      </c>
      <c r="N101" s="112"/>
      <c r="O101" s="112"/>
      <c r="P101" s="35">
        <f t="shared" si="8"/>
        <v>0</v>
      </c>
      <c r="R101" s="88"/>
      <c r="S101" s="88"/>
      <c r="T101" s="67"/>
      <c r="V101" s="148"/>
    </row>
    <row r="102" spans="1:22" ht="25.15" customHeight="1" x14ac:dyDescent="0.25">
      <c r="A102" s="32">
        <f t="shared" si="6"/>
        <v>0</v>
      </c>
      <c r="B102" s="109">
        <f t="shared" si="6"/>
        <v>0</v>
      </c>
      <c r="C102" s="109"/>
      <c r="D102" s="109"/>
      <c r="E102" s="109"/>
      <c r="F102" s="109"/>
      <c r="G102" s="109"/>
      <c r="H102" s="110">
        <f t="shared" si="9"/>
        <v>0</v>
      </c>
      <c r="I102" s="110"/>
      <c r="J102" s="110"/>
      <c r="K102" s="111">
        <f t="shared" si="10"/>
        <v>0</v>
      </c>
      <c r="L102" s="111"/>
      <c r="M102" s="112">
        <f t="shared" si="7"/>
        <v>0</v>
      </c>
      <c r="N102" s="112"/>
      <c r="O102" s="112"/>
      <c r="P102" s="35">
        <f t="shared" si="8"/>
        <v>0</v>
      </c>
      <c r="R102" s="88"/>
      <c r="S102" s="88"/>
      <c r="T102" s="67"/>
    </row>
    <row r="103" spans="1:22" ht="25.15" customHeight="1" x14ac:dyDescent="0.25">
      <c r="A103" s="32">
        <f t="shared" si="6"/>
        <v>0</v>
      </c>
      <c r="B103" s="109">
        <f t="shared" si="6"/>
        <v>0</v>
      </c>
      <c r="C103" s="109"/>
      <c r="D103" s="109"/>
      <c r="E103" s="109"/>
      <c r="F103" s="109"/>
      <c r="G103" s="109"/>
      <c r="H103" s="110">
        <f t="shared" si="9"/>
        <v>0</v>
      </c>
      <c r="I103" s="110"/>
      <c r="J103" s="110"/>
      <c r="K103" s="111">
        <f t="shared" si="10"/>
        <v>0</v>
      </c>
      <c r="L103" s="111"/>
      <c r="M103" s="112">
        <f t="shared" si="7"/>
        <v>0</v>
      </c>
      <c r="N103" s="112"/>
      <c r="O103" s="112"/>
      <c r="P103" s="35">
        <f t="shared" si="8"/>
        <v>0</v>
      </c>
      <c r="R103" s="88"/>
      <c r="S103" s="88"/>
      <c r="T103" s="67"/>
    </row>
    <row r="104" spans="1:22" ht="25.15" customHeight="1" x14ac:dyDescent="0.25">
      <c r="A104" s="32">
        <f t="shared" si="6"/>
        <v>0</v>
      </c>
      <c r="B104" s="109">
        <f t="shared" si="6"/>
        <v>0</v>
      </c>
      <c r="C104" s="109"/>
      <c r="D104" s="109"/>
      <c r="E104" s="109"/>
      <c r="F104" s="109"/>
      <c r="G104" s="109"/>
      <c r="H104" s="110">
        <f t="shared" si="9"/>
        <v>0</v>
      </c>
      <c r="I104" s="110"/>
      <c r="J104" s="110"/>
      <c r="K104" s="111">
        <f t="shared" si="10"/>
        <v>0</v>
      </c>
      <c r="L104" s="111"/>
      <c r="M104" s="112">
        <f t="shared" si="7"/>
        <v>0</v>
      </c>
      <c r="N104" s="112"/>
      <c r="O104" s="112"/>
      <c r="P104" s="35">
        <f t="shared" si="8"/>
        <v>0</v>
      </c>
      <c r="R104" s="88"/>
      <c r="S104" s="88"/>
      <c r="T104" s="67"/>
    </row>
    <row r="105" spans="1:22" ht="25.15" customHeight="1" x14ac:dyDescent="0.25">
      <c r="A105" s="32">
        <f t="shared" si="6"/>
        <v>0</v>
      </c>
      <c r="B105" s="109">
        <f t="shared" si="6"/>
        <v>0</v>
      </c>
      <c r="C105" s="109"/>
      <c r="D105" s="109"/>
      <c r="E105" s="109"/>
      <c r="F105" s="109"/>
      <c r="G105" s="109"/>
      <c r="H105" s="110">
        <f t="shared" si="9"/>
        <v>0</v>
      </c>
      <c r="I105" s="110"/>
      <c r="J105" s="110"/>
      <c r="K105" s="111">
        <f t="shared" si="10"/>
        <v>0</v>
      </c>
      <c r="L105" s="111"/>
      <c r="M105" s="112">
        <f t="shared" si="7"/>
        <v>0</v>
      </c>
      <c r="N105" s="112"/>
      <c r="O105" s="112"/>
      <c r="P105" s="35">
        <f t="shared" si="8"/>
        <v>0</v>
      </c>
      <c r="R105" s="88"/>
      <c r="S105" s="88"/>
      <c r="T105" s="67"/>
    </row>
    <row r="106" spans="1:22" ht="25.15" customHeight="1" x14ac:dyDescent="0.25">
      <c r="A106" s="32">
        <f t="shared" si="6"/>
        <v>0</v>
      </c>
      <c r="B106" s="109">
        <f t="shared" si="6"/>
        <v>0</v>
      </c>
      <c r="C106" s="109"/>
      <c r="D106" s="109"/>
      <c r="E106" s="109"/>
      <c r="F106" s="109"/>
      <c r="G106" s="109"/>
      <c r="H106" s="110">
        <f t="shared" si="9"/>
        <v>0</v>
      </c>
      <c r="I106" s="110"/>
      <c r="J106" s="110"/>
      <c r="K106" s="111">
        <f t="shared" si="10"/>
        <v>0</v>
      </c>
      <c r="L106" s="111"/>
      <c r="M106" s="112">
        <f t="shared" si="7"/>
        <v>0</v>
      </c>
      <c r="N106" s="112"/>
      <c r="O106" s="112"/>
      <c r="P106" s="35">
        <f t="shared" si="8"/>
        <v>0</v>
      </c>
      <c r="R106" s="88"/>
      <c r="S106" s="88"/>
      <c r="T106" s="67"/>
    </row>
    <row r="107" spans="1:22" ht="25.15" customHeight="1" x14ac:dyDescent="0.25">
      <c r="A107" s="32">
        <f t="shared" si="6"/>
        <v>0</v>
      </c>
      <c r="B107" s="109">
        <f t="shared" si="6"/>
        <v>0</v>
      </c>
      <c r="C107" s="109"/>
      <c r="D107" s="109"/>
      <c r="E107" s="109"/>
      <c r="F107" s="109"/>
      <c r="G107" s="109"/>
      <c r="H107" s="110">
        <f t="shared" si="9"/>
        <v>0</v>
      </c>
      <c r="I107" s="110"/>
      <c r="J107" s="110"/>
      <c r="K107" s="111">
        <f t="shared" si="10"/>
        <v>0</v>
      </c>
      <c r="L107" s="111"/>
      <c r="M107" s="112">
        <f t="shared" si="7"/>
        <v>0</v>
      </c>
      <c r="N107" s="112"/>
      <c r="O107" s="112"/>
      <c r="P107" s="35">
        <f t="shared" si="8"/>
        <v>0</v>
      </c>
      <c r="R107" s="88"/>
      <c r="S107" s="88"/>
      <c r="T107" s="67"/>
    </row>
    <row r="108" spans="1:22" ht="25.15" customHeight="1" x14ac:dyDescent="0.25">
      <c r="A108" s="32">
        <f t="shared" si="6"/>
        <v>0</v>
      </c>
      <c r="B108" s="109">
        <f t="shared" si="6"/>
        <v>0</v>
      </c>
      <c r="C108" s="109"/>
      <c r="D108" s="109"/>
      <c r="E108" s="109"/>
      <c r="F108" s="109"/>
      <c r="G108" s="109"/>
      <c r="H108" s="110">
        <f t="shared" si="9"/>
        <v>0</v>
      </c>
      <c r="I108" s="110"/>
      <c r="J108" s="110"/>
      <c r="K108" s="111">
        <f t="shared" si="10"/>
        <v>0</v>
      </c>
      <c r="L108" s="111"/>
      <c r="M108" s="112">
        <f t="shared" si="7"/>
        <v>0</v>
      </c>
      <c r="N108" s="112"/>
      <c r="O108" s="112"/>
      <c r="P108" s="35">
        <f t="shared" si="8"/>
        <v>0</v>
      </c>
      <c r="R108" s="88"/>
      <c r="S108" s="88"/>
      <c r="T108" s="67"/>
    </row>
    <row r="109" spans="1:22" ht="25.15" customHeight="1" x14ac:dyDescent="0.25">
      <c r="A109" s="32">
        <f t="shared" si="6"/>
        <v>0</v>
      </c>
      <c r="B109" s="109">
        <f t="shared" si="6"/>
        <v>0</v>
      </c>
      <c r="C109" s="109"/>
      <c r="D109" s="109"/>
      <c r="E109" s="109"/>
      <c r="F109" s="109"/>
      <c r="G109" s="109"/>
      <c r="H109" s="110">
        <f t="shared" si="9"/>
        <v>0</v>
      </c>
      <c r="I109" s="110"/>
      <c r="J109" s="110"/>
      <c r="K109" s="111">
        <f t="shared" si="10"/>
        <v>0</v>
      </c>
      <c r="L109" s="111"/>
      <c r="M109" s="112">
        <f t="shared" si="7"/>
        <v>0</v>
      </c>
      <c r="N109" s="112"/>
      <c r="O109" s="112"/>
      <c r="P109" s="35">
        <f t="shared" si="8"/>
        <v>0</v>
      </c>
      <c r="R109" s="88"/>
      <c r="S109" s="88"/>
      <c r="T109" s="67"/>
    </row>
    <row r="110" spans="1:22" ht="25.15" customHeight="1" x14ac:dyDescent="0.25">
      <c r="A110" s="32">
        <f t="shared" si="6"/>
        <v>0</v>
      </c>
      <c r="B110" s="109">
        <f t="shared" si="6"/>
        <v>0</v>
      </c>
      <c r="C110" s="109"/>
      <c r="D110" s="109"/>
      <c r="E110" s="109"/>
      <c r="F110" s="109"/>
      <c r="G110" s="109"/>
      <c r="H110" s="110">
        <f t="shared" si="9"/>
        <v>0</v>
      </c>
      <c r="I110" s="110"/>
      <c r="J110" s="110"/>
      <c r="K110" s="111">
        <f t="shared" si="10"/>
        <v>0</v>
      </c>
      <c r="L110" s="111"/>
      <c r="M110" s="112">
        <f t="shared" si="7"/>
        <v>0</v>
      </c>
      <c r="N110" s="112"/>
      <c r="O110" s="112"/>
      <c r="P110" s="35">
        <f t="shared" si="8"/>
        <v>0</v>
      </c>
      <c r="R110" s="88"/>
      <c r="S110" s="88"/>
      <c r="T110" s="67"/>
    </row>
    <row r="111" spans="1:22" ht="25.15" customHeight="1" x14ac:dyDescent="0.25">
      <c r="A111" s="32">
        <f t="shared" si="6"/>
        <v>0</v>
      </c>
      <c r="B111" s="109">
        <f t="shared" si="6"/>
        <v>0</v>
      </c>
      <c r="C111" s="109"/>
      <c r="D111" s="109"/>
      <c r="E111" s="109"/>
      <c r="F111" s="109"/>
      <c r="G111" s="109"/>
      <c r="H111" s="110">
        <f t="shared" si="9"/>
        <v>0</v>
      </c>
      <c r="I111" s="110"/>
      <c r="J111" s="110"/>
      <c r="K111" s="111">
        <f t="shared" si="10"/>
        <v>0</v>
      </c>
      <c r="L111" s="111"/>
      <c r="M111" s="112">
        <f t="shared" si="7"/>
        <v>0</v>
      </c>
      <c r="N111" s="112"/>
      <c r="O111" s="112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09">
        <f t="shared" si="6"/>
        <v>0</v>
      </c>
      <c r="C112" s="109"/>
      <c r="D112" s="109"/>
      <c r="E112" s="109"/>
      <c r="F112" s="109"/>
      <c r="G112" s="109"/>
      <c r="H112" s="110">
        <f t="shared" si="9"/>
        <v>0</v>
      </c>
      <c r="I112" s="110"/>
      <c r="J112" s="110"/>
      <c r="K112" s="111">
        <f t="shared" si="10"/>
        <v>0</v>
      </c>
      <c r="L112" s="111"/>
      <c r="M112" s="112">
        <f t="shared" si="7"/>
        <v>0</v>
      </c>
      <c r="N112" s="112"/>
      <c r="O112" s="112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09">
        <f t="shared" si="11"/>
        <v>0</v>
      </c>
      <c r="C113" s="109"/>
      <c r="D113" s="109"/>
      <c r="E113" s="109"/>
      <c r="F113" s="109"/>
      <c r="G113" s="109"/>
      <c r="H113" s="110">
        <f t="shared" si="9"/>
        <v>0</v>
      </c>
      <c r="I113" s="110"/>
      <c r="J113" s="110"/>
      <c r="K113" s="111">
        <f t="shared" si="10"/>
        <v>0</v>
      </c>
      <c r="L113" s="111"/>
      <c r="M113" s="112">
        <f t="shared" si="7"/>
        <v>0</v>
      </c>
      <c r="N113" s="112"/>
      <c r="O113" s="112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09">
        <f t="shared" si="11"/>
        <v>0</v>
      </c>
      <c r="C114" s="109"/>
      <c r="D114" s="109"/>
      <c r="E114" s="109"/>
      <c r="F114" s="109"/>
      <c r="G114" s="109"/>
      <c r="H114" s="110">
        <f t="shared" si="9"/>
        <v>0</v>
      </c>
      <c r="I114" s="110"/>
      <c r="J114" s="110"/>
      <c r="K114" s="111">
        <f t="shared" si="10"/>
        <v>0</v>
      </c>
      <c r="L114" s="111"/>
      <c r="M114" s="112">
        <f t="shared" si="7"/>
        <v>0</v>
      </c>
      <c r="N114" s="112"/>
      <c r="O114" s="112"/>
      <c r="P114" s="35">
        <f t="shared" si="8"/>
        <v>0</v>
      </c>
    </row>
    <row r="115" spans="1:22" ht="21.95" customHeight="1" thickBot="1" x14ac:dyDescent="0.3">
      <c r="A115" s="126" t="s">
        <v>17</v>
      </c>
      <c r="B115" s="127"/>
      <c r="C115" s="127"/>
      <c r="D115" s="127"/>
      <c r="E115" s="127"/>
      <c r="F115" s="127"/>
      <c r="G115" s="116"/>
      <c r="H115" s="128">
        <f>SUM(H95:J114)</f>
        <v>8</v>
      </c>
      <c r="I115" s="129"/>
      <c r="J115" s="130"/>
      <c r="K115" s="131">
        <f>SUM(K95:L114)</f>
        <v>595</v>
      </c>
      <c r="L115" s="132"/>
      <c r="M115" s="133"/>
      <c r="N115" s="134"/>
      <c r="O115" s="135"/>
      <c r="P115" s="19"/>
    </row>
    <row r="117" spans="1:22" ht="31.9" customHeight="1" x14ac:dyDescent="0.25">
      <c r="A117" s="137" t="s">
        <v>22</v>
      </c>
      <c r="B117" s="138"/>
      <c r="C117" s="138"/>
      <c r="D117" s="139" t="str">
        <f>D77</f>
        <v>MD.AMANULLA</v>
      </c>
      <c r="E117" s="139"/>
      <c r="F117" s="139"/>
      <c r="G117" s="138" t="s">
        <v>23</v>
      </c>
      <c r="H117" s="138"/>
      <c r="I117" s="138"/>
      <c r="J117" s="138"/>
      <c r="K117" s="138"/>
      <c r="L117" s="138"/>
      <c r="M117" s="140" t="str">
        <f>M77</f>
        <v>01718-019525</v>
      </c>
      <c r="N117" s="140"/>
      <c r="O117" s="140"/>
      <c r="P117" s="141"/>
    </row>
    <row r="118" spans="1:22" ht="31.9" customHeight="1" x14ac:dyDescent="0.25">
      <c r="A118" s="142" t="s">
        <v>24</v>
      </c>
      <c r="B118" s="143"/>
      <c r="C118" s="143"/>
      <c r="D118" s="144" t="str">
        <f>D78</f>
        <v>OOO1</v>
      </c>
      <c r="E118" s="144"/>
      <c r="F118" s="144"/>
      <c r="G118" s="143" t="s">
        <v>25</v>
      </c>
      <c r="H118" s="143"/>
      <c r="I118" s="143"/>
      <c r="J118" s="143"/>
      <c r="K118" s="143"/>
      <c r="L118" s="143"/>
      <c r="M118" s="145" t="str">
        <f>M78</f>
        <v>D.M.TA 20-7316</v>
      </c>
      <c r="N118" s="145"/>
      <c r="O118" s="145"/>
      <c r="P118" s="146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36" t="s">
        <v>18</v>
      </c>
      <c r="B120" s="136"/>
      <c r="C120" s="136"/>
      <c r="D120" s="4"/>
      <c r="E120" s="4"/>
      <c r="F120" s="136" t="s">
        <v>19</v>
      </c>
      <c r="G120" s="136"/>
      <c r="H120" s="36"/>
      <c r="I120" s="36"/>
      <c r="J120" s="36"/>
      <c r="K120" s="4"/>
      <c r="L120" s="136" t="s">
        <v>20</v>
      </c>
      <c r="M120" s="136"/>
      <c r="N120" s="136"/>
      <c r="O120" s="136"/>
      <c r="P120" s="136"/>
    </row>
    <row r="121" spans="1:22" ht="8.25" customHeight="1" x14ac:dyDescent="0.25"/>
    <row r="122" spans="1:22" ht="36.75" customHeight="1" x14ac:dyDescent="0.25">
      <c r="A122" s="37"/>
      <c r="B122" s="37"/>
      <c r="C122" s="37"/>
      <c r="D122" s="38" t="s">
        <v>27</v>
      </c>
      <c r="E122" s="38"/>
      <c r="F122" s="38"/>
      <c r="G122" s="38"/>
      <c r="H122" s="38"/>
      <c r="I122" s="38"/>
      <c r="J122" s="38"/>
      <c r="K122" s="38"/>
      <c r="L122" s="38"/>
      <c r="M122" s="39" t="str">
        <f>M82</f>
        <v>FORM STR 03
REVISION NO 01</v>
      </c>
      <c r="N122" s="39"/>
      <c r="O122" s="39"/>
      <c r="P122" s="39"/>
      <c r="Q122" s="10"/>
    </row>
    <row r="123" spans="1:22" ht="22.15" customHeight="1" x14ac:dyDescent="0.25">
      <c r="A123" s="37"/>
      <c r="B123" s="37"/>
      <c r="C123" s="37"/>
      <c r="D123" s="38"/>
      <c r="E123" s="38"/>
      <c r="F123" s="38"/>
      <c r="G123" s="38"/>
      <c r="H123" s="38"/>
      <c r="I123" s="38"/>
      <c r="J123" s="38"/>
      <c r="K123" s="38"/>
      <c r="L123" s="38"/>
      <c r="M123" s="39"/>
      <c r="N123" s="39"/>
      <c r="O123" s="39"/>
      <c r="P123" s="39"/>
      <c r="Q123" s="10"/>
    </row>
    <row r="124" spans="1:22" ht="17.45" customHeight="1" x14ac:dyDescent="0.25">
      <c r="A124" s="40"/>
      <c r="B124" s="40"/>
      <c r="C124" s="40"/>
      <c r="D124" s="41" t="s">
        <v>21</v>
      </c>
      <c r="E124" s="41"/>
      <c r="F124" s="41"/>
      <c r="G124" s="41"/>
      <c r="H124" s="41"/>
      <c r="I124" s="41"/>
      <c r="J124" s="41"/>
      <c r="K124" s="41"/>
      <c r="L124" s="41"/>
      <c r="M124" s="11"/>
    </row>
    <row r="125" spans="1:22" ht="22.15" customHeight="1" thickBot="1" x14ac:dyDescent="0.35">
      <c r="A125" s="42"/>
      <c r="B125" s="42"/>
      <c r="C125" s="1"/>
      <c r="D125" s="43" t="s">
        <v>92</v>
      </c>
      <c r="E125" s="43"/>
      <c r="F125" s="43"/>
      <c r="G125" s="43"/>
      <c r="H125" s="43"/>
      <c r="I125" s="43"/>
      <c r="J125" s="43"/>
      <c r="K125" s="43"/>
      <c r="L125" s="43"/>
      <c r="M125" s="2"/>
      <c r="N125" s="37"/>
      <c r="O125" s="37"/>
      <c r="P125" s="37"/>
    </row>
    <row r="126" spans="1:22" ht="15.6" customHeight="1" thickBot="1" x14ac:dyDescent="0.35">
      <c r="A126" s="71" t="s">
        <v>9</v>
      </c>
      <c r="B126" s="72"/>
      <c r="C126" s="73" t="str">
        <f>C86</f>
        <v>O544</v>
      </c>
      <c r="D126" s="73"/>
      <c r="E126" s="73"/>
      <c r="F126" s="74"/>
      <c r="G126" s="2"/>
      <c r="H126" s="75" t="s">
        <v>4</v>
      </c>
      <c r="I126" s="76"/>
      <c r="J126" s="76"/>
      <c r="K126" s="8" t="s">
        <v>7</v>
      </c>
      <c r="L126" s="77" t="str">
        <f>L86</f>
        <v>JP 523805</v>
      </c>
      <c r="M126" s="77"/>
      <c r="N126" s="77"/>
      <c r="O126" s="77"/>
      <c r="P126" s="78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52" t="s">
        <v>5</v>
      </c>
      <c r="I127" s="53"/>
      <c r="J127" s="53"/>
      <c r="K127" s="9" t="s">
        <v>7</v>
      </c>
      <c r="L127" s="79">
        <f>L87</f>
        <v>45687</v>
      </c>
      <c r="M127" s="79"/>
      <c r="N127" s="79"/>
      <c r="O127" s="79"/>
      <c r="P127" s="80"/>
      <c r="R127" s="88"/>
      <c r="S127" s="88"/>
      <c r="T127" s="147"/>
      <c r="U127" s="26"/>
      <c r="V127" s="147"/>
    </row>
    <row r="128" spans="1:22" ht="18" customHeight="1" x14ac:dyDescent="0.3">
      <c r="A128" s="46" t="str">
        <f>A88</f>
        <v>Summit Alliance Port Limited (OCL).
Katghar, North Patenga, Chitagong.</v>
      </c>
      <c r="B128" s="47"/>
      <c r="C128" s="47"/>
      <c r="D128" s="47"/>
      <c r="E128" s="47"/>
      <c r="F128" s="48"/>
      <c r="G128" s="2"/>
      <c r="H128" s="52" t="s">
        <v>8</v>
      </c>
      <c r="I128" s="53"/>
      <c r="J128" s="53"/>
      <c r="K128" s="9" t="s">
        <v>7</v>
      </c>
      <c r="L128" s="54" t="str">
        <f>L88</f>
        <v>SEA</v>
      </c>
      <c r="M128" s="54"/>
      <c r="N128" s="54"/>
      <c r="O128" s="54"/>
      <c r="P128" s="55"/>
      <c r="R128" s="88"/>
      <c r="S128" s="88"/>
      <c r="T128" s="148"/>
      <c r="U128" s="26"/>
      <c r="V128" s="148"/>
    </row>
    <row r="129" spans="1:22" ht="17.25" x14ac:dyDescent="0.3">
      <c r="A129" s="46"/>
      <c r="B129" s="47"/>
      <c r="C129" s="47"/>
      <c r="D129" s="47"/>
      <c r="E129" s="47"/>
      <c r="F129" s="48"/>
      <c r="G129" s="2"/>
      <c r="H129" s="56" t="s">
        <v>6</v>
      </c>
      <c r="I129" s="57"/>
      <c r="J129" s="57"/>
      <c r="K129" s="62" t="s">
        <v>7</v>
      </c>
      <c r="L129" s="65" t="str">
        <f>L89</f>
        <v>M/S. Kabir &amp; Co.
1104DT Road West Madarbari,
Chattogram, Bangladesh.</v>
      </c>
      <c r="M129" s="65"/>
      <c r="N129" s="65"/>
      <c r="O129" s="65"/>
      <c r="P129" s="66"/>
      <c r="R129" s="88"/>
      <c r="S129" s="88"/>
      <c r="T129" s="148"/>
      <c r="U129" s="26"/>
      <c r="V129" s="148"/>
    </row>
    <row r="130" spans="1:22" ht="18" thickBot="1" x14ac:dyDescent="0.35">
      <c r="A130" s="49"/>
      <c r="B130" s="50"/>
      <c r="C130" s="50"/>
      <c r="D130" s="50"/>
      <c r="E130" s="50"/>
      <c r="F130" s="51"/>
      <c r="G130" s="2"/>
      <c r="H130" s="58"/>
      <c r="I130" s="59"/>
      <c r="J130" s="59"/>
      <c r="K130" s="63"/>
      <c r="L130" s="67"/>
      <c r="M130" s="67"/>
      <c r="N130" s="67"/>
      <c r="O130" s="67"/>
      <c r="P130" s="68"/>
      <c r="R130" s="88"/>
      <c r="S130" s="88"/>
      <c r="T130" s="147"/>
      <c r="U130" s="26"/>
      <c r="V130" s="147"/>
    </row>
    <row r="131" spans="1:22" ht="18" customHeight="1" thickBot="1" x14ac:dyDescent="0.35">
      <c r="A131" s="42"/>
      <c r="B131" s="42"/>
      <c r="C131" s="1"/>
      <c r="D131" s="2"/>
      <c r="E131" s="2"/>
      <c r="F131" s="2"/>
      <c r="G131" s="2"/>
      <c r="H131" s="60"/>
      <c r="I131" s="61"/>
      <c r="J131" s="61"/>
      <c r="K131" s="64"/>
      <c r="L131" s="69"/>
      <c r="M131" s="69"/>
      <c r="N131" s="69"/>
      <c r="O131" s="69"/>
      <c r="P131" s="70"/>
      <c r="R131" s="88"/>
      <c r="S131" s="88"/>
      <c r="T131" s="147"/>
      <c r="U131" s="26"/>
      <c r="V131" s="148"/>
    </row>
    <row r="132" spans="1:22" ht="16.149999999999999" customHeight="1" x14ac:dyDescent="0.25">
      <c r="A132" s="103" t="s">
        <v>12</v>
      </c>
      <c r="B132" s="104"/>
      <c r="C132" s="105" t="s">
        <v>0</v>
      </c>
      <c r="D132" s="105"/>
      <c r="E132" s="105"/>
      <c r="F132" s="105"/>
      <c r="G132" s="105"/>
      <c r="H132" s="81" t="s">
        <v>1</v>
      </c>
      <c r="I132" s="82"/>
      <c r="J132" s="82"/>
      <c r="K132" s="82"/>
      <c r="L132" s="83"/>
      <c r="M132" s="84" t="s">
        <v>16</v>
      </c>
      <c r="N132" s="85"/>
      <c r="O132" s="86"/>
      <c r="P132" s="149" t="s">
        <v>3</v>
      </c>
      <c r="R132" s="88"/>
      <c r="S132" s="88"/>
      <c r="T132" s="147"/>
      <c r="U132" s="26"/>
      <c r="V132" s="148"/>
    </row>
    <row r="133" spans="1:22" ht="16.149999999999999" customHeight="1" x14ac:dyDescent="0.25">
      <c r="A133" s="3" t="s">
        <v>13</v>
      </c>
      <c r="B133" s="33">
        <f>B93</f>
        <v>0</v>
      </c>
      <c r="C133" s="96" t="str">
        <f>C93</f>
        <v>Delivery of Readymade Garments</v>
      </c>
      <c r="D133" s="96"/>
      <c r="E133" s="96"/>
      <c r="F133" s="96"/>
      <c r="G133" s="96"/>
      <c r="H133" s="165" t="s">
        <v>2</v>
      </c>
      <c r="I133" s="166"/>
      <c r="J133" s="167"/>
      <c r="K133" s="165" t="s">
        <v>15</v>
      </c>
      <c r="L133" s="167"/>
      <c r="M133" s="87"/>
      <c r="N133" s="88"/>
      <c r="O133" s="89"/>
      <c r="P133" s="150"/>
      <c r="R133" s="88"/>
      <c r="S133" s="88"/>
      <c r="T133" s="147"/>
      <c r="V133" s="147"/>
    </row>
    <row r="134" spans="1:22" ht="16.149999999999999" customHeight="1" thickBot="1" x14ac:dyDescent="0.3">
      <c r="A134" s="113" t="s">
        <v>11</v>
      </c>
      <c r="B134" s="114"/>
      <c r="C134" s="115" t="str">
        <f>C94</f>
        <v>H &amp; M</v>
      </c>
      <c r="D134" s="116"/>
      <c r="E134" s="117" t="s">
        <v>88</v>
      </c>
      <c r="F134" s="118"/>
      <c r="G134" s="114"/>
      <c r="H134" s="100"/>
      <c r="I134" s="101"/>
      <c r="J134" s="102"/>
      <c r="K134" s="100"/>
      <c r="L134" s="102"/>
      <c r="M134" s="90"/>
      <c r="N134" s="91"/>
      <c r="O134" s="92"/>
      <c r="P134" s="151"/>
      <c r="R134" s="88"/>
      <c r="S134" s="88"/>
      <c r="T134" s="147"/>
      <c r="V134" s="148"/>
    </row>
    <row r="135" spans="1:22" ht="25.15" customHeight="1" x14ac:dyDescent="0.25">
      <c r="A135" s="31">
        <f>A95</f>
        <v>0</v>
      </c>
      <c r="B135" s="119" t="str">
        <f>B95</f>
        <v>302565-7952</v>
      </c>
      <c r="C135" s="119"/>
      <c r="D135" s="119"/>
      <c r="E135" s="119"/>
      <c r="F135" s="119"/>
      <c r="G135" s="119"/>
      <c r="H135" s="160">
        <f>H95</f>
        <v>6</v>
      </c>
      <c r="I135" s="161"/>
      <c r="J135" s="162"/>
      <c r="K135" s="163">
        <f>K95</f>
        <v>420</v>
      </c>
      <c r="L135" s="164"/>
      <c r="M135" s="106" t="str">
        <f>M95</f>
        <v>IN</v>
      </c>
      <c r="N135" s="107"/>
      <c r="O135" s="108"/>
      <c r="P135" s="34">
        <f>P95</f>
        <v>0</v>
      </c>
      <c r="R135" s="88"/>
      <c r="S135" s="88"/>
      <c r="T135" s="147"/>
      <c r="V135" s="148"/>
    </row>
    <row r="136" spans="1:22" ht="25.15" customHeight="1" x14ac:dyDescent="0.25">
      <c r="A136" s="32">
        <f>A96</f>
        <v>0</v>
      </c>
      <c r="B136" s="109" t="str">
        <f>B96</f>
        <v>307361-5832</v>
      </c>
      <c r="C136" s="109"/>
      <c r="D136" s="109"/>
      <c r="E136" s="109"/>
      <c r="F136" s="109"/>
      <c r="G136" s="109"/>
      <c r="H136" s="152">
        <f>H96</f>
        <v>2</v>
      </c>
      <c r="I136" s="153"/>
      <c r="J136" s="154"/>
      <c r="K136" s="155">
        <f>K96</f>
        <v>175</v>
      </c>
      <c r="L136" s="156"/>
      <c r="M136" s="157" t="str">
        <f>M96</f>
        <v>OIW243,OIW404</v>
      </c>
      <c r="N136" s="158"/>
      <c r="O136" s="159"/>
      <c r="P136" s="35">
        <f>P96</f>
        <v>0</v>
      </c>
      <c r="R136" s="88"/>
      <c r="S136" s="88"/>
      <c r="T136" s="67"/>
      <c r="V136" s="147"/>
    </row>
    <row r="137" spans="1:22" ht="25.15" customHeight="1" x14ac:dyDescent="0.25">
      <c r="A137" s="32">
        <f t="shared" ref="A137:B152" si="12">A97</f>
        <v>0</v>
      </c>
      <c r="B137" s="109">
        <f t="shared" si="12"/>
        <v>0</v>
      </c>
      <c r="C137" s="109"/>
      <c r="D137" s="109"/>
      <c r="E137" s="109"/>
      <c r="F137" s="109"/>
      <c r="G137" s="109"/>
      <c r="H137" s="152">
        <f>H97</f>
        <v>0</v>
      </c>
      <c r="I137" s="153"/>
      <c r="J137" s="154"/>
      <c r="K137" s="155">
        <f>K97</f>
        <v>0</v>
      </c>
      <c r="L137" s="156"/>
      <c r="M137" s="157">
        <f t="shared" ref="M137:M154" si="13">M97</f>
        <v>0</v>
      </c>
      <c r="N137" s="158"/>
      <c r="O137" s="159"/>
      <c r="P137" s="35">
        <f t="shared" ref="P137:P154" si="14">P97</f>
        <v>0</v>
      </c>
      <c r="R137" s="88"/>
      <c r="S137" s="88"/>
      <c r="T137" s="67"/>
      <c r="V137" s="148"/>
    </row>
    <row r="138" spans="1:22" ht="25.15" customHeight="1" x14ac:dyDescent="0.25">
      <c r="A138" s="32">
        <f t="shared" si="12"/>
        <v>0</v>
      </c>
      <c r="B138" s="109">
        <f t="shared" si="12"/>
        <v>0</v>
      </c>
      <c r="C138" s="109"/>
      <c r="D138" s="109"/>
      <c r="E138" s="109"/>
      <c r="F138" s="109"/>
      <c r="G138" s="109"/>
      <c r="H138" s="152">
        <f t="shared" ref="H138:H154" si="15">H98</f>
        <v>0</v>
      </c>
      <c r="I138" s="153"/>
      <c r="J138" s="154"/>
      <c r="K138" s="155">
        <f t="shared" ref="K138:K154" si="16">K98</f>
        <v>0</v>
      </c>
      <c r="L138" s="156"/>
      <c r="M138" s="157">
        <f t="shared" si="13"/>
        <v>0</v>
      </c>
      <c r="N138" s="158"/>
      <c r="O138" s="159"/>
      <c r="P138" s="35">
        <f t="shared" si="14"/>
        <v>0</v>
      </c>
      <c r="R138" s="88"/>
      <c r="S138" s="88"/>
      <c r="T138" s="67"/>
      <c r="V138" s="148"/>
    </row>
    <row r="139" spans="1:22" ht="25.15" customHeight="1" x14ac:dyDescent="0.25">
      <c r="A139" s="32">
        <f t="shared" si="12"/>
        <v>0</v>
      </c>
      <c r="B139" s="109">
        <f t="shared" si="12"/>
        <v>0</v>
      </c>
      <c r="C139" s="109"/>
      <c r="D139" s="109"/>
      <c r="E139" s="109"/>
      <c r="F139" s="109"/>
      <c r="G139" s="109"/>
      <c r="H139" s="152">
        <f t="shared" si="15"/>
        <v>0</v>
      </c>
      <c r="I139" s="153"/>
      <c r="J139" s="154"/>
      <c r="K139" s="155">
        <f t="shared" si="16"/>
        <v>0</v>
      </c>
      <c r="L139" s="156"/>
      <c r="M139" s="157">
        <f t="shared" si="13"/>
        <v>0</v>
      </c>
      <c r="N139" s="158"/>
      <c r="O139" s="159"/>
      <c r="P139" s="35">
        <f t="shared" si="14"/>
        <v>0</v>
      </c>
      <c r="R139" s="88"/>
      <c r="S139" s="88"/>
      <c r="T139" s="67"/>
      <c r="V139" s="147"/>
    </row>
    <row r="140" spans="1:22" ht="25.15" customHeight="1" x14ac:dyDescent="0.25">
      <c r="A140" s="32">
        <f t="shared" si="12"/>
        <v>0</v>
      </c>
      <c r="B140" s="109">
        <f t="shared" si="12"/>
        <v>0</v>
      </c>
      <c r="C140" s="109"/>
      <c r="D140" s="109"/>
      <c r="E140" s="109"/>
      <c r="F140" s="109"/>
      <c r="G140" s="109"/>
      <c r="H140" s="152">
        <f t="shared" si="15"/>
        <v>0</v>
      </c>
      <c r="I140" s="153"/>
      <c r="J140" s="154"/>
      <c r="K140" s="155">
        <f t="shared" si="16"/>
        <v>0</v>
      </c>
      <c r="L140" s="156"/>
      <c r="M140" s="157">
        <f t="shared" si="13"/>
        <v>0</v>
      </c>
      <c r="N140" s="158"/>
      <c r="O140" s="159"/>
      <c r="P140" s="35">
        <f t="shared" si="14"/>
        <v>0</v>
      </c>
      <c r="R140" s="88"/>
      <c r="S140" s="88"/>
      <c r="T140" s="67"/>
      <c r="V140" s="148"/>
    </row>
    <row r="141" spans="1:22" ht="25.15" customHeight="1" x14ac:dyDescent="0.25">
      <c r="A141" s="32">
        <f t="shared" si="12"/>
        <v>0</v>
      </c>
      <c r="B141" s="109">
        <f t="shared" si="12"/>
        <v>0</v>
      </c>
      <c r="C141" s="109"/>
      <c r="D141" s="109"/>
      <c r="E141" s="109"/>
      <c r="F141" s="109"/>
      <c r="G141" s="109"/>
      <c r="H141" s="152">
        <f t="shared" si="15"/>
        <v>0</v>
      </c>
      <c r="I141" s="153"/>
      <c r="J141" s="154"/>
      <c r="K141" s="155">
        <f t="shared" si="16"/>
        <v>0</v>
      </c>
      <c r="L141" s="156"/>
      <c r="M141" s="157">
        <f t="shared" si="13"/>
        <v>0</v>
      </c>
      <c r="N141" s="158"/>
      <c r="O141" s="159"/>
      <c r="P141" s="35">
        <f t="shared" si="14"/>
        <v>0</v>
      </c>
      <c r="R141" s="88"/>
      <c r="S141" s="88"/>
      <c r="T141" s="67"/>
      <c r="V141" s="148"/>
    </row>
    <row r="142" spans="1:22" ht="25.15" customHeight="1" x14ac:dyDescent="0.25">
      <c r="A142" s="32">
        <f t="shared" si="12"/>
        <v>0</v>
      </c>
      <c r="B142" s="109">
        <f t="shared" si="12"/>
        <v>0</v>
      </c>
      <c r="C142" s="109"/>
      <c r="D142" s="109"/>
      <c r="E142" s="109"/>
      <c r="F142" s="109"/>
      <c r="G142" s="109"/>
      <c r="H142" s="152">
        <f t="shared" si="15"/>
        <v>0</v>
      </c>
      <c r="I142" s="153"/>
      <c r="J142" s="154"/>
      <c r="K142" s="155">
        <f t="shared" si="16"/>
        <v>0</v>
      </c>
      <c r="L142" s="156"/>
      <c r="M142" s="157">
        <f t="shared" si="13"/>
        <v>0</v>
      </c>
      <c r="N142" s="158"/>
      <c r="O142" s="159"/>
      <c r="P142" s="35">
        <f t="shared" si="14"/>
        <v>0</v>
      </c>
      <c r="R142" s="88"/>
      <c r="S142" s="88"/>
      <c r="T142" s="67"/>
    </row>
    <row r="143" spans="1:22" ht="25.15" customHeight="1" x14ac:dyDescent="0.25">
      <c r="A143" s="32">
        <f t="shared" si="12"/>
        <v>0</v>
      </c>
      <c r="B143" s="109">
        <f t="shared" si="12"/>
        <v>0</v>
      </c>
      <c r="C143" s="109"/>
      <c r="D143" s="109"/>
      <c r="E143" s="109"/>
      <c r="F143" s="109"/>
      <c r="G143" s="109"/>
      <c r="H143" s="152">
        <f t="shared" si="15"/>
        <v>0</v>
      </c>
      <c r="I143" s="153"/>
      <c r="J143" s="154"/>
      <c r="K143" s="155">
        <f t="shared" si="16"/>
        <v>0</v>
      </c>
      <c r="L143" s="156"/>
      <c r="M143" s="157">
        <f t="shared" si="13"/>
        <v>0</v>
      </c>
      <c r="N143" s="158"/>
      <c r="O143" s="159"/>
      <c r="P143" s="35">
        <f t="shared" si="14"/>
        <v>0</v>
      </c>
      <c r="R143" s="88"/>
      <c r="S143" s="88"/>
      <c r="T143" s="67"/>
    </row>
    <row r="144" spans="1:22" ht="25.15" customHeight="1" x14ac:dyDescent="0.25">
      <c r="A144" s="32">
        <f t="shared" si="12"/>
        <v>0</v>
      </c>
      <c r="B144" s="109">
        <f t="shared" si="12"/>
        <v>0</v>
      </c>
      <c r="C144" s="109"/>
      <c r="D144" s="109"/>
      <c r="E144" s="109"/>
      <c r="F144" s="109"/>
      <c r="G144" s="109"/>
      <c r="H144" s="152">
        <f t="shared" si="15"/>
        <v>0</v>
      </c>
      <c r="I144" s="153"/>
      <c r="J144" s="154"/>
      <c r="K144" s="155">
        <f t="shared" si="16"/>
        <v>0</v>
      </c>
      <c r="L144" s="156"/>
      <c r="M144" s="157">
        <f t="shared" si="13"/>
        <v>0</v>
      </c>
      <c r="N144" s="158"/>
      <c r="O144" s="159"/>
      <c r="P144" s="35">
        <f t="shared" si="14"/>
        <v>0</v>
      </c>
      <c r="R144" s="88"/>
      <c r="S144" s="88"/>
      <c r="T144" s="67"/>
    </row>
    <row r="145" spans="1:20" ht="25.15" customHeight="1" x14ac:dyDescent="0.25">
      <c r="A145" s="32">
        <f t="shared" si="12"/>
        <v>0</v>
      </c>
      <c r="B145" s="109">
        <f t="shared" si="12"/>
        <v>0</v>
      </c>
      <c r="C145" s="109"/>
      <c r="D145" s="109"/>
      <c r="E145" s="109"/>
      <c r="F145" s="109"/>
      <c r="G145" s="109"/>
      <c r="H145" s="152">
        <f t="shared" si="15"/>
        <v>0</v>
      </c>
      <c r="I145" s="153"/>
      <c r="J145" s="154"/>
      <c r="K145" s="155">
        <f t="shared" si="16"/>
        <v>0</v>
      </c>
      <c r="L145" s="156"/>
      <c r="M145" s="157">
        <f t="shared" si="13"/>
        <v>0</v>
      </c>
      <c r="N145" s="158"/>
      <c r="O145" s="159"/>
      <c r="P145" s="35">
        <f t="shared" si="14"/>
        <v>0</v>
      </c>
      <c r="R145" s="88"/>
      <c r="S145" s="88"/>
      <c r="T145" s="67"/>
    </row>
    <row r="146" spans="1:20" ht="25.15" customHeight="1" x14ac:dyDescent="0.25">
      <c r="A146" s="32">
        <f t="shared" si="12"/>
        <v>0</v>
      </c>
      <c r="B146" s="109">
        <f t="shared" si="12"/>
        <v>0</v>
      </c>
      <c r="C146" s="109"/>
      <c r="D146" s="109"/>
      <c r="E146" s="109"/>
      <c r="F146" s="109"/>
      <c r="G146" s="109"/>
      <c r="H146" s="152">
        <f t="shared" si="15"/>
        <v>0</v>
      </c>
      <c r="I146" s="153"/>
      <c r="J146" s="154"/>
      <c r="K146" s="155">
        <f t="shared" si="16"/>
        <v>0</v>
      </c>
      <c r="L146" s="156"/>
      <c r="M146" s="157">
        <f t="shared" si="13"/>
        <v>0</v>
      </c>
      <c r="N146" s="158"/>
      <c r="O146" s="159"/>
      <c r="P146" s="35">
        <f t="shared" si="14"/>
        <v>0</v>
      </c>
      <c r="R146" s="88"/>
      <c r="S146" s="88"/>
      <c r="T146" s="67"/>
    </row>
    <row r="147" spans="1:20" ht="25.15" customHeight="1" x14ac:dyDescent="0.25">
      <c r="A147" s="32">
        <f t="shared" si="12"/>
        <v>0</v>
      </c>
      <c r="B147" s="109">
        <f t="shared" si="12"/>
        <v>0</v>
      </c>
      <c r="C147" s="109"/>
      <c r="D147" s="109"/>
      <c r="E147" s="109"/>
      <c r="F147" s="109"/>
      <c r="G147" s="109"/>
      <c r="H147" s="152">
        <f t="shared" si="15"/>
        <v>0</v>
      </c>
      <c r="I147" s="153"/>
      <c r="J147" s="154"/>
      <c r="K147" s="155">
        <f t="shared" si="16"/>
        <v>0</v>
      </c>
      <c r="L147" s="156"/>
      <c r="M147" s="157">
        <f t="shared" si="13"/>
        <v>0</v>
      </c>
      <c r="N147" s="158"/>
      <c r="O147" s="159"/>
      <c r="P147" s="35">
        <f t="shared" si="14"/>
        <v>0</v>
      </c>
      <c r="R147" s="88"/>
      <c r="S147" s="88"/>
      <c r="T147" s="67"/>
    </row>
    <row r="148" spans="1:20" ht="25.15" customHeight="1" x14ac:dyDescent="0.25">
      <c r="A148" s="32">
        <f t="shared" si="12"/>
        <v>0</v>
      </c>
      <c r="B148" s="109">
        <f t="shared" si="12"/>
        <v>0</v>
      </c>
      <c r="C148" s="109"/>
      <c r="D148" s="109"/>
      <c r="E148" s="109"/>
      <c r="F148" s="109"/>
      <c r="G148" s="109"/>
      <c r="H148" s="152">
        <f t="shared" si="15"/>
        <v>0</v>
      </c>
      <c r="I148" s="153"/>
      <c r="J148" s="154"/>
      <c r="K148" s="155">
        <f t="shared" si="16"/>
        <v>0</v>
      </c>
      <c r="L148" s="156"/>
      <c r="M148" s="157">
        <f t="shared" si="13"/>
        <v>0</v>
      </c>
      <c r="N148" s="158"/>
      <c r="O148" s="159"/>
      <c r="P148" s="35">
        <f t="shared" si="14"/>
        <v>0</v>
      </c>
      <c r="R148" s="88"/>
      <c r="S148" s="88"/>
      <c r="T148" s="67"/>
    </row>
    <row r="149" spans="1:20" ht="25.15" customHeight="1" x14ac:dyDescent="0.25">
      <c r="A149" s="32">
        <f t="shared" si="12"/>
        <v>0</v>
      </c>
      <c r="B149" s="109">
        <f t="shared" si="12"/>
        <v>0</v>
      </c>
      <c r="C149" s="109"/>
      <c r="D149" s="109"/>
      <c r="E149" s="109"/>
      <c r="F149" s="109"/>
      <c r="G149" s="109"/>
      <c r="H149" s="152">
        <f t="shared" si="15"/>
        <v>0</v>
      </c>
      <c r="I149" s="153"/>
      <c r="J149" s="154"/>
      <c r="K149" s="155">
        <f t="shared" si="16"/>
        <v>0</v>
      </c>
      <c r="L149" s="156"/>
      <c r="M149" s="157">
        <f t="shared" si="13"/>
        <v>0</v>
      </c>
      <c r="N149" s="158"/>
      <c r="O149" s="159"/>
      <c r="P149" s="35">
        <f t="shared" si="14"/>
        <v>0</v>
      </c>
      <c r="R149" s="88"/>
      <c r="S149" s="88"/>
      <c r="T149" s="67"/>
    </row>
    <row r="150" spans="1:20" ht="25.15" customHeight="1" x14ac:dyDescent="0.25">
      <c r="A150" s="32">
        <f t="shared" si="12"/>
        <v>0</v>
      </c>
      <c r="B150" s="109">
        <f t="shared" si="12"/>
        <v>0</v>
      </c>
      <c r="C150" s="109"/>
      <c r="D150" s="109"/>
      <c r="E150" s="109"/>
      <c r="F150" s="109"/>
      <c r="G150" s="109"/>
      <c r="H150" s="152">
        <f t="shared" si="15"/>
        <v>0</v>
      </c>
      <c r="I150" s="153"/>
      <c r="J150" s="154"/>
      <c r="K150" s="155">
        <f t="shared" si="16"/>
        <v>0</v>
      </c>
      <c r="L150" s="156"/>
      <c r="M150" s="157">
        <f t="shared" si="13"/>
        <v>0</v>
      </c>
      <c r="N150" s="158"/>
      <c r="O150" s="159"/>
      <c r="P150" s="35">
        <f t="shared" si="14"/>
        <v>0</v>
      </c>
      <c r="R150" s="88"/>
      <c r="S150" s="88"/>
      <c r="T150" s="67"/>
    </row>
    <row r="151" spans="1:20" ht="25.15" customHeight="1" x14ac:dyDescent="0.25">
      <c r="A151" s="32">
        <f t="shared" si="12"/>
        <v>0</v>
      </c>
      <c r="B151" s="109">
        <f t="shared" si="12"/>
        <v>0</v>
      </c>
      <c r="C151" s="109"/>
      <c r="D151" s="109"/>
      <c r="E151" s="109"/>
      <c r="F151" s="109"/>
      <c r="G151" s="109"/>
      <c r="H151" s="152">
        <f t="shared" si="15"/>
        <v>0</v>
      </c>
      <c r="I151" s="153"/>
      <c r="J151" s="154"/>
      <c r="K151" s="155">
        <f t="shared" si="16"/>
        <v>0</v>
      </c>
      <c r="L151" s="156"/>
      <c r="M151" s="157">
        <f t="shared" si="13"/>
        <v>0</v>
      </c>
      <c r="N151" s="158"/>
      <c r="O151" s="159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09">
        <f t="shared" si="12"/>
        <v>0</v>
      </c>
      <c r="C152" s="109"/>
      <c r="D152" s="109"/>
      <c r="E152" s="109"/>
      <c r="F152" s="109"/>
      <c r="G152" s="109"/>
      <c r="H152" s="152">
        <f t="shared" si="15"/>
        <v>0</v>
      </c>
      <c r="I152" s="153"/>
      <c r="J152" s="154"/>
      <c r="K152" s="155">
        <f t="shared" si="16"/>
        <v>0</v>
      </c>
      <c r="L152" s="156"/>
      <c r="M152" s="157">
        <f t="shared" si="13"/>
        <v>0</v>
      </c>
      <c r="N152" s="158"/>
      <c r="O152" s="159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09">
        <f t="shared" si="17"/>
        <v>0</v>
      </c>
      <c r="C153" s="109"/>
      <c r="D153" s="109"/>
      <c r="E153" s="109"/>
      <c r="F153" s="109"/>
      <c r="G153" s="109"/>
      <c r="H153" s="152">
        <f t="shared" si="15"/>
        <v>0</v>
      </c>
      <c r="I153" s="153"/>
      <c r="J153" s="154"/>
      <c r="K153" s="155">
        <f t="shared" si="16"/>
        <v>0</v>
      </c>
      <c r="L153" s="156"/>
      <c r="M153" s="157">
        <f t="shared" si="13"/>
        <v>0</v>
      </c>
      <c r="N153" s="158"/>
      <c r="O153" s="159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09">
        <f t="shared" si="17"/>
        <v>0</v>
      </c>
      <c r="C154" s="109"/>
      <c r="D154" s="109"/>
      <c r="E154" s="109"/>
      <c r="F154" s="109"/>
      <c r="G154" s="109"/>
      <c r="H154" s="152">
        <f t="shared" si="15"/>
        <v>0</v>
      </c>
      <c r="I154" s="153"/>
      <c r="J154" s="154"/>
      <c r="K154" s="155">
        <f t="shared" si="16"/>
        <v>0</v>
      </c>
      <c r="L154" s="156"/>
      <c r="M154" s="157">
        <f t="shared" si="13"/>
        <v>0</v>
      </c>
      <c r="N154" s="158"/>
      <c r="O154" s="159"/>
      <c r="P154" s="35">
        <f t="shared" si="14"/>
        <v>0</v>
      </c>
    </row>
    <row r="155" spans="1:20" ht="21.95" customHeight="1" thickBot="1" x14ac:dyDescent="0.3">
      <c r="A155" s="126" t="s">
        <v>17</v>
      </c>
      <c r="B155" s="127"/>
      <c r="C155" s="127"/>
      <c r="D155" s="127"/>
      <c r="E155" s="127"/>
      <c r="F155" s="127"/>
      <c r="G155" s="116"/>
      <c r="H155" s="128">
        <f>SUM(H135:J154)</f>
        <v>8</v>
      </c>
      <c r="I155" s="168"/>
      <c r="J155" s="169"/>
      <c r="K155" s="131">
        <f>SUM(K135:L154)</f>
        <v>595</v>
      </c>
      <c r="L155" s="132"/>
      <c r="M155" s="133"/>
      <c r="N155" s="134"/>
      <c r="O155" s="135"/>
      <c r="P155" s="19"/>
    </row>
    <row r="157" spans="1:20" ht="31.9" customHeight="1" x14ac:dyDescent="0.25">
      <c r="A157" s="137" t="s">
        <v>22</v>
      </c>
      <c r="B157" s="138"/>
      <c r="C157" s="138"/>
      <c r="D157" s="139" t="str">
        <f>D117</f>
        <v>MD.AMANULLA</v>
      </c>
      <c r="E157" s="139"/>
      <c r="F157" s="139"/>
      <c r="G157" s="138" t="s">
        <v>23</v>
      </c>
      <c r="H157" s="138"/>
      <c r="I157" s="138"/>
      <c r="J157" s="138"/>
      <c r="K157" s="138"/>
      <c r="L157" s="138"/>
      <c r="M157" s="140" t="str">
        <f>M117</f>
        <v>01718-019525</v>
      </c>
      <c r="N157" s="140"/>
      <c r="O157" s="140"/>
      <c r="P157" s="141"/>
    </row>
    <row r="158" spans="1:20" ht="31.9" customHeight="1" x14ac:dyDescent="0.25">
      <c r="A158" s="142" t="s">
        <v>24</v>
      </c>
      <c r="B158" s="143"/>
      <c r="C158" s="143"/>
      <c r="D158" s="144" t="str">
        <f>D118</f>
        <v>OOO1</v>
      </c>
      <c r="E158" s="144"/>
      <c r="F158" s="144"/>
      <c r="G158" s="143" t="s">
        <v>25</v>
      </c>
      <c r="H158" s="143"/>
      <c r="I158" s="143"/>
      <c r="J158" s="143"/>
      <c r="K158" s="143"/>
      <c r="L158" s="143"/>
      <c r="M158" s="145" t="str">
        <f>M118</f>
        <v>D.M.TA 20-7316</v>
      </c>
      <c r="N158" s="145"/>
      <c r="O158" s="145"/>
      <c r="P158" s="146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36" t="s">
        <v>18</v>
      </c>
      <c r="B160" s="136"/>
      <c r="C160" s="136"/>
      <c r="D160" s="4"/>
      <c r="E160" s="4"/>
      <c r="F160" s="136" t="s">
        <v>19</v>
      </c>
      <c r="G160" s="136"/>
      <c r="H160" s="36"/>
      <c r="I160" s="36"/>
      <c r="J160" s="36"/>
      <c r="K160" s="4"/>
      <c r="L160" s="136" t="s">
        <v>20</v>
      </c>
      <c r="M160" s="136"/>
      <c r="N160" s="136"/>
      <c r="O160" s="136"/>
      <c r="P160" s="136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26:G26"/>
    <mergeCell ref="H26:J26"/>
    <mergeCell ref="K26:L26"/>
    <mergeCell ref="M26:O26"/>
    <mergeCell ref="B27:G27"/>
    <mergeCell ref="H27:J27"/>
    <mergeCell ref="K27:L27"/>
    <mergeCell ref="M27:O27"/>
    <mergeCell ref="B24:G24"/>
    <mergeCell ref="H24:J24"/>
    <mergeCell ref="K24:L24"/>
    <mergeCell ref="M24:O24"/>
    <mergeCell ref="B25:G25"/>
    <mergeCell ref="H25:J25"/>
    <mergeCell ref="K25:L25"/>
    <mergeCell ref="M25:O25"/>
    <mergeCell ref="V16:V18"/>
    <mergeCell ref="B17:G17"/>
    <mergeCell ref="H17:J17"/>
    <mergeCell ref="K17:L17"/>
    <mergeCell ref="M17:O17"/>
    <mergeCell ref="B18:G18"/>
    <mergeCell ref="B23:G23"/>
    <mergeCell ref="H23:J23"/>
    <mergeCell ref="K23:L23"/>
    <mergeCell ref="M23:O23"/>
    <mergeCell ref="V19:V21"/>
    <mergeCell ref="B20:G20"/>
    <mergeCell ref="H20:J20"/>
    <mergeCell ref="K20:L20"/>
    <mergeCell ref="M20:O20"/>
    <mergeCell ref="B21:G21"/>
    <mergeCell ref="H21:J21"/>
    <mergeCell ref="K21:L21"/>
    <mergeCell ref="M21:O21"/>
    <mergeCell ref="B19:G19"/>
    <mergeCell ref="H19:J19"/>
    <mergeCell ref="K19:L19"/>
    <mergeCell ref="M19:O19"/>
    <mergeCell ref="M15:O15"/>
    <mergeCell ref="H18:J18"/>
    <mergeCell ref="K18:L18"/>
    <mergeCell ref="M18:O18"/>
    <mergeCell ref="B16:G16"/>
    <mergeCell ref="H16:J16"/>
    <mergeCell ref="K16:L16"/>
    <mergeCell ref="M16:O16"/>
    <mergeCell ref="B22:G22"/>
    <mergeCell ref="H22:J22"/>
    <mergeCell ref="K22:L22"/>
    <mergeCell ref="M22:O22"/>
    <mergeCell ref="C12:G12"/>
    <mergeCell ref="H12:L12"/>
    <mergeCell ref="M12:O14"/>
    <mergeCell ref="P12:P14"/>
    <mergeCell ref="C13:G13"/>
    <mergeCell ref="H13:J14"/>
    <mergeCell ref="K13:L14"/>
    <mergeCell ref="V7:V9"/>
    <mergeCell ref="A8:F10"/>
    <mergeCell ref="H8:J8"/>
    <mergeCell ref="L8:P8"/>
    <mergeCell ref="H9:J11"/>
    <mergeCell ref="K9:K11"/>
    <mergeCell ref="L9:P11"/>
    <mergeCell ref="V10:V12"/>
    <mergeCell ref="A11:B11"/>
    <mergeCell ref="A12:B12"/>
    <mergeCell ref="V13:V15"/>
    <mergeCell ref="A14:B14"/>
    <mergeCell ref="C14:D14"/>
    <mergeCell ref="E14:G14"/>
    <mergeCell ref="B15:G15"/>
    <mergeCell ref="H15:J15"/>
    <mergeCell ref="K15:L15"/>
    <mergeCell ref="A6:B6"/>
    <mergeCell ref="C6:F6"/>
    <mergeCell ref="H6:J6"/>
    <mergeCell ref="L6:P6"/>
    <mergeCell ref="H7:J7"/>
    <mergeCell ref="L7:P7"/>
    <mergeCell ref="A2:C3"/>
    <mergeCell ref="D2:L3"/>
    <mergeCell ref="M2:P3"/>
    <mergeCell ref="A4:C4"/>
    <mergeCell ref="D4:L4"/>
    <mergeCell ref="A5:B5"/>
    <mergeCell ref="D5:L5"/>
    <mergeCell ref="N5:P5"/>
  </mergeCells>
  <dataValidations count="4">
    <dataValidation type="list" allowBlank="1" showInputMessage="1" showErrorMessage="1" sqref="L8:P8 L48:P48 L88:P88 L128:P128" xr:uid="{C0EA3D3B-8565-4464-810A-7B4B90C6A4A5}">
      <formula1>Mode</formula1>
    </dataValidation>
    <dataValidation type="list" allowBlank="1" showInputMessage="1" showErrorMessage="1" sqref="A8 A48 A88 A128" xr:uid="{85E6E1D4-429E-4AE1-8DF4-E4A11EE6611A}">
      <formula1>$T$7:$T$35</formula1>
    </dataValidation>
    <dataValidation type="list" allowBlank="1" showInputMessage="1" showErrorMessage="1" sqref="L9:P11 L49:P51 L89:P91 L129:P131" xr:uid="{E35C47DC-2A1C-42A8-912F-1E84E40F6DF5}">
      <formula1>Carrier</formula1>
    </dataValidation>
    <dataValidation type="list" allowBlank="1" showInputMessage="1" showErrorMessage="1" sqref="C14:D14 C94:D94 C54:D54 C134:D134" xr:uid="{B8A0C877-9703-4CCB-9562-7B296D9B05DE}">
      <formula1>$W$7:$W$161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1F302-79D7-4326-83E6-AAC206E8AA4F}">
  <sheetPr>
    <tabColor rgb="FF00B050"/>
  </sheetPr>
  <dimension ref="A1:Y168"/>
  <sheetViews>
    <sheetView view="pageBreakPreview" topLeftCell="A10" zoomScaleNormal="100" zoomScaleSheetLayoutView="100" workbookViewId="0">
      <selection activeCell="D37" sqref="D37:F37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37"/>
      <c r="B2" s="37"/>
      <c r="C2" s="37"/>
      <c r="D2" s="38" t="s">
        <v>27</v>
      </c>
      <c r="E2" s="38"/>
      <c r="F2" s="38"/>
      <c r="G2" s="38"/>
      <c r="H2" s="38"/>
      <c r="I2" s="38"/>
      <c r="J2" s="38"/>
      <c r="K2" s="38"/>
      <c r="L2" s="38"/>
      <c r="M2" s="39" t="s">
        <v>26</v>
      </c>
      <c r="N2" s="39"/>
      <c r="O2" s="39"/>
      <c r="P2" s="39"/>
      <c r="Q2" s="10"/>
    </row>
    <row r="3" spans="1:25" ht="22.15" customHeight="1" x14ac:dyDescent="0.25">
      <c r="A3" s="37"/>
      <c r="B3" s="37"/>
      <c r="C3" s="37"/>
      <c r="D3" s="38"/>
      <c r="E3" s="38"/>
      <c r="F3" s="38"/>
      <c r="G3" s="38"/>
      <c r="H3" s="38"/>
      <c r="I3" s="38"/>
      <c r="J3" s="38"/>
      <c r="K3" s="38"/>
      <c r="L3" s="38"/>
      <c r="M3" s="39"/>
      <c r="N3" s="39"/>
      <c r="O3" s="39"/>
      <c r="P3" s="39"/>
      <c r="Q3" s="10"/>
    </row>
    <row r="4" spans="1:25" ht="17.45" customHeight="1" x14ac:dyDescent="0.25">
      <c r="A4" s="40"/>
      <c r="B4" s="40"/>
      <c r="C4" s="40"/>
      <c r="D4" s="41" t="s">
        <v>21</v>
      </c>
      <c r="E4" s="41"/>
      <c r="F4" s="41"/>
      <c r="G4" s="41"/>
      <c r="H4" s="41"/>
      <c r="I4" s="41"/>
      <c r="J4" s="41"/>
      <c r="K4" s="41"/>
      <c r="L4" s="41"/>
      <c r="M4" s="11"/>
    </row>
    <row r="5" spans="1:25" ht="22.15" customHeight="1" thickBot="1" x14ac:dyDescent="0.35">
      <c r="A5" s="42"/>
      <c r="B5" s="42"/>
      <c r="C5" s="1"/>
      <c r="D5" s="43" t="s">
        <v>89</v>
      </c>
      <c r="E5" s="43"/>
      <c r="F5" s="43"/>
      <c r="G5" s="43"/>
      <c r="H5" s="43"/>
      <c r="I5" s="43"/>
      <c r="J5" s="43"/>
      <c r="K5" s="43"/>
      <c r="L5" s="43"/>
      <c r="M5" s="2"/>
      <c r="N5" s="37"/>
      <c r="O5" s="37"/>
      <c r="P5" s="37"/>
    </row>
    <row r="6" spans="1:25" ht="15.6" customHeight="1" thickBot="1" x14ac:dyDescent="0.35">
      <c r="A6" s="71" t="s">
        <v>9</v>
      </c>
      <c r="B6" s="72"/>
      <c r="C6" s="73" t="s">
        <v>120</v>
      </c>
      <c r="D6" s="73"/>
      <c r="E6" s="73"/>
      <c r="F6" s="74"/>
      <c r="G6" s="2"/>
      <c r="H6" s="75" t="s">
        <v>4</v>
      </c>
      <c r="I6" s="76"/>
      <c r="J6" s="76"/>
      <c r="K6" s="8" t="s">
        <v>7</v>
      </c>
      <c r="L6" s="77" t="s">
        <v>233</v>
      </c>
      <c r="M6" s="77"/>
      <c r="N6" s="77"/>
      <c r="O6" s="77"/>
      <c r="P6" s="78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52" t="s">
        <v>5</v>
      </c>
      <c r="I7" s="53"/>
      <c r="J7" s="53"/>
      <c r="K7" s="9" t="s">
        <v>7</v>
      </c>
      <c r="L7" s="79">
        <f ca="1">NOW()</f>
        <v>45689.589567129631</v>
      </c>
      <c r="M7" s="79"/>
      <c r="N7" s="79"/>
      <c r="O7" s="79"/>
      <c r="P7" s="80"/>
      <c r="R7" s="28">
        <v>1</v>
      </c>
      <c r="S7" s="28" t="s">
        <v>39</v>
      </c>
      <c r="T7" s="29" t="s">
        <v>33</v>
      </c>
      <c r="U7" s="17" t="s">
        <v>29</v>
      </c>
      <c r="V7" s="44" t="s">
        <v>47</v>
      </c>
      <c r="W7" t="s">
        <v>54</v>
      </c>
    </row>
    <row r="8" spans="1:25" ht="18" customHeight="1" x14ac:dyDescent="0.3">
      <c r="A8" s="46" t="s">
        <v>123</v>
      </c>
      <c r="B8" s="47"/>
      <c r="C8" s="47"/>
      <c r="D8" s="47"/>
      <c r="E8" s="47"/>
      <c r="F8" s="48"/>
      <c r="G8" s="2"/>
      <c r="H8" s="52" t="s">
        <v>8</v>
      </c>
      <c r="I8" s="53"/>
      <c r="J8" s="53"/>
      <c r="K8" s="9" t="s">
        <v>7</v>
      </c>
      <c r="L8" s="54" t="s">
        <v>29</v>
      </c>
      <c r="M8" s="54"/>
      <c r="N8" s="54"/>
      <c r="O8" s="54"/>
      <c r="P8" s="55"/>
      <c r="R8" s="28">
        <v>2</v>
      </c>
      <c r="S8" s="28" t="s">
        <v>40</v>
      </c>
      <c r="T8" s="29" t="s">
        <v>99</v>
      </c>
      <c r="U8" s="17" t="s">
        <v>30</v>
      </c>
      <c r="V8" s="45"/>
      <c r="W8" t="s">
        <v>55</v>
      </c>
    </row>
    <row r="9" spans="1:25" ht="17.45" customHeight="1" x14ac:dyDescent="0.3">
      <c r="A9" s="46"/>
      <c r="B9" s="47"/>
      <c r="C9" s="47"/>
      <c r="D9" s="47"/>
      <c r="E9" s="47"/>
      <c r="F9" s="48"/>
      <c r="G9" s="2"/>
      <c r="H9" s="56" t="s">
        <v>6</v>
      </c>
      <c r="I9" s="57"/>
      <c r="J9" s="57"/>
      <c r="K9" s="62" t="s">
        <v>7</v>
      </c>
      <c r="L9" s="65" t="s">
        <v>52</v>
      </c>
      <c r="M9" s="65"/>
      <c r="N9" s="65"/>
      <c r="O9" s="65"/>
      <c r="P9" s="66"/>
      <c r="R9" s="28">
        <v>3</v>
      </c>
      <c r="S9" s="28" t="s">
        <v>41</v>
      </c>
      <c r="T9" s="29" t="s">
        <v>100</v>
      </c>
      <c r="U9" s="17" t="s">
        <v>31</v>
      </c>
      <c r="V9" s="45"/>
      <c r="W9" t="s">
        <v>56</v>
      </c>
    </row>
    <row r="10" spans="1:25" ht="18" customHeight="1" thickBot="1" x14ac:dyDescent="0.35">
      <c r="A10" s="49"/>
      <c r="B10" s="50"/>
      <c r="C10" s="50"/>
      <c r="D10" s="50"/>
      <c r="E10" s="50"/>
      <c r="F10" s="51"/>
      <c r="G10" s="2"/>
      <c r="H10" s="58"/>
      <c r="I10" s="59"/>
      <c r="J10" s="59"/>
      <c r="K10" s="63"/>
      <c r="L10" s="67"/>
      <c r="M10" s="67"/>
      <c r="N10" s="67"/>
      <c r="O10" s="67"/>
      <c r="P10" s="68"/>
      <c r="R10" s="28">
        <v>4</v>
      </c>
      <c r="S10" s="28" t="s">
        <v>42</v>
      </c>
      <c r="T10" s="30" t="s">
        <v>34</v>
      </c>
      <c r="U10" s="17"/>
      <c r="V10" s="44" t="s">
        <v>48</v>
      </c>
      <c r="W10" t="s">
        <v>57</v>
      </c>
    </row>
    <row r="11" spans="1:25" ht="18" customHeight="1" thickBot="1" x14ac:dyDescent="0.35">
      <c r="A11" s="42"/>
      <c r="B11" s="42"/>
      <c r="C11" s="1"/>
      <c r="D11" s="2"/>
      <c r="E11" s="2"/>
      <c r="F11" s="2"/>
      <c r="G11" s="2"/>
      <c r="H11" s="60"/>
      <c r="I11" s="61"/>
      <c r="J11" s="61"/>
      <c r="K11" s="64"/>
      <c r="L11" s="69"/>
      <c r="M11" s="69"/>
      <c r="N11" s="69"/>
      <c r="O11" s="69"/>
      <c r="P11" s="70"/>
      <c r="R11" s="28">
        <v>5</v>
      </c>
      <c r="S11" s="28" t="s">
        <v>43</v>
      </c>
      <c r="T11" s="30" t="s">
        <v>35</v>
      </c>
      <c r="U11" s="17"/>
      <c r="V11" s="45"/>
      <c r="W11" t="s">
        <v>58</v>
      </c>
    </row>
    <row r="12" spans="1:25" ht="16.149999999999999" customHeight="1" x14ac:dyDescent="0.25">
      <c r="A12" s="103" t="s">
        <v>12</v>
      </c>
      <c r="B12" s="104"/>
      <c r="C12" s="105" t="s">
        <v>0</v>
      </c>
      <c r="D12" s="105"/>
      <c r="E12" s="105"/>
      <c r="F12" s="105"/>
      <c r="G12" s="105"/>
      <c r="H12" s="81" t="s">
        <v>1</v>
      </c>
      <c r="I12" s="82"/>
      <c r="J12" s="82"/>
      <c r="K12" s="82"/>
      <c r="L12" s="83"/>
      <c r="M12" s="84" t="s">
        <v>16</v>
      </c>
      <c r="N12" s="85"/>
      <c r="O12" s="86"/>
      <c r="P12" s="93" t="s">
        <v>3</v>
      </c>
      <c r="R12" s="28">
        <v>6</v>
      </c>
      <c r="S12" s="28" t="s">
        <v>44</v>
      </c>
      <c r="T12" s="30" t="s">
        <v>36</v>
      </c>
      <c r="U12" s="17"/>
      <c r="V12" s="45"/>
      <c r="W12" t="s">
        <v>67</v>
      </c>
    </row>
    <row r="13" spans="1:25" ht="16.149999999999999" customHeight="1" x14ac:dyDescent="0.25">
      <c r="A13" s="3" t="s">
        <v>13</v>
      </c>
      <c r="B13" s="33">
        <v>1</v>
      </c>
      <c r="C13" s="96" t="s">
        <v>14</v>
      </c>
      <c r="D13" s="96"/>
      <c r="E13" s="96"/>
      <c r="F13" s="96"/>
      <c r="G13" s="96"/>
      <c r="H13" s="97" t="s">
        <v>2</v>
      </c>
      <c r="I13" s="98"/>
      <c r="J13" s="99"/>
      <c r="K13" s="97" t="s">
        <v>15</v>
      </c>
      <c r="L13" s="99"/>
      <c r="M13" s="87"/>
      <c r="N13" s="88"/>
      <c r="O13" s="89"/>
      <c r="P13" s="94"/>
      <c r="R13" s="28">
        <v>7</v>
      </c>
      <c r="S13" s="28" t="s">
        <v>45</v>
      </c>
      <c r="T13" s="30" t="s">
        <v>37</v>
      </c>
      <c r="U13" s="12"/>
      <c r="V13" s="44" t="s">
        <v>49</v>
      </c>
      <c r="W13" t="s">
        <v>59</v>
      </c>
    </row>
    <row r="14" spans="1:25" ht="16.149999999999999" customHeight="1" thickBot="1" x14ac:dyDescent="0.3">
      <c r="A14" s="113" t="s">
        <v>11</v>
      </c>
      <c r="B14" s="114"/>
      <c r="C14" s="115" t="s">
        <v>66</v>
      </c>
      <c r="D14" s="116"/>
      <c r="E14" s="117" t="s">
        <v>88</v>
      </c>
      <c r="F14" s="118"/>
      <c r="G14" s="114"/>
      <c r="H14" s="100"/>
      <c r="I14" s="101"/>
      <c r="J14" s="102"/>
      <c r="K14" s="100"/>
      <c r="L14" s="102"/>
      <c r="M14" s="90"/>
      <c r="N14" s="91"/>
      <c r="O14" s="92"/>
      <c r="P14" s="95"/>
      <c r="R14" s="28">
        <v>8</v>
      </c>
      <c r="S14" s="28" t="s">
        <v>46</v>
      </c>
      <c r="T14" s="30" t="s">
        <v>38</v>
      </c>
      <c r="U14" s="12"/>
      <c r="V14" s="45"/>
      <c r="W14" t="s">
        <v>60</v>
      </c>
    </row>
    <row r="15" spans="1:25" ht="25.15" customHeight="1" x14ac:dyDescent="0.25">
      <c r="A15" s="31"/>
      <c r="B15" s="119" t="s">
        <v>234</v>
      </c>
      <c r="C15" s="119"/>
      <c r="D15" s="119"/>
      <c r="E15" s="119"/>
      <c r="F15" s="119"/>
      <c r="G15" s="119"/>
      <c r="H15" s="120">
        <v>54</v>
      </c>
      <c r="I15" s="121"/>
      <c r="J15" s="122"/>
      <c r="K15" s="123">
        <v>4412</v>
      </c>
      <c r="L15" s="124"/>
      <c r="M15" s="106" t="s">
        <v>138</v>
      </c>
      <c r="N15" s="107"/>
      <c r="O15" s="108"/>
      <c r="P15" s="34"/>
      <c r="R15" s="28">
        <v>9</v>
      </c>
      <c r="S15" s="28" t="s">
        <v>96</v>
      </c>
      <c r="T15" s="30" t="s">
        <v>93</v>
      </c>
      <c r="U15" s="12"/>
      <c r="V15" s="45"/>
      <c r="W15" t="s">
        <v>61</v>
      </c>
    </row>
    <row r="16" spans="1:25" ht="25.15" customHeight="1" x14ac:dyDescent="0.25">
      <c r="A16" s="32"/>
      <c r="B16" s="109" t="s">
        <v>235</v>
      </c>
      <c r="C16" s="109"/>
      <c r="D16" s="109"/>
      <c r="E16" s="109"/>
      <c r="F16" s="109"/>
      <c r="G16" s="109"/>
      <c r="H16" s="110">
        <v>34</v>
      </c>
      <c r="I16" s="110"/>
      <c r="J16" s="110"/>
      <c r="K16" s="111">
        <v>3299</v>
      </c>
      <c r="L16" s="111"/>
      <c r="M16" s="112" t="s">
        <v>131</v>
      </c>
      <c r="N16" s="112"/>
      <c r="O16" s="112"/>
      <c r="P16" s="35"/>
      <c r="R16" s="28">
        <v>10</v>
      </c>
      <c r="S16" s="28" t="s">
        <v>98</v>
      </c>
      <c r="T16" s="30" t="s">
        <v>94</v>
      </c>
      <c r="U16" s="12"/>
      <c r="V16" s="44" t="s">
        <v>50</v>
      </c>
      <c r="W16" t="s">
        <v>62</v>
      </c>
    </row>
    <row r="17" spans="1:23" ht="25.15" customHeight="1" x14ac:dyDescent="0.25">
      <c r="A17" s="32"/>
      <c r="B17" s="109" t="s">
        <v>236</v>
      </c>
      <c r="C17" s="109"/>
      <c r="D17" s="109"/>
      <c r="E17" s="109"/>
      <c r="F17" s="109"/>
      <c r="G17" s="109"/>
      <c r="H17" s="110">
        <v>65</v>
      </c>
      <c r="I17" s="110"/>
      <c r="J17" s="110"/>
      <c r="K17" s="111">
        <v>1601</v>
      </c>
      <c r="L17" s="111"/>
      <c r="M17" s="112" t="s">
        <v>131</v>
      </c>
      <c r="N17" s="112"/>
      <c r="O17" s="112"/>
      <c r="P17" s="35"/>
      <c r="R17" s="28">
        <v>11</v>
      </c>
      <c r="S17" s="28" t="s">
        <v>97</v>
      </c>
      <c r="T17" s="30" t="s">
        <v>95</v>
      </c>
      <c r="U17" s="12"/>
      <c r="V17" s="45"/>
      <c r="W17" t="s">
        <v>63</v>
      </c>
    </row>
    <row r="18" spans="1:23" ht="25.15" customHeight="1" x14ac:dyDescent="0.25">
      <c r="A18" s="32"/>
      <c r="B18" s="109" t="s">
        <v>152</v>
      </c>
      <c r="C18" s="109"/>
      <c r="D18" s="109"/>
      <c r="E18" s="109"/>
      <c r="F18" s="109"/>
      <c r="G18" s="109"/>
      <c r="H18" s="110">
        <v>1</v>
      </c>
      <c r="I18" s="110"/>
      <c r="J18" s="110"/>
      <c r="K18" s="111">
        <v>26</v>
      </c>
      <c r="L18" s="111"/>
      <c r="M18" s="112" t="s">
        <v>127</v>
      </c>
      <c r="N18" s="112"/>
      <c r="O18" s="112"/>
      <c r="P18" s="35"/>
      <c r="R18" s="28">
        <v>12</v>
      </c>
      <c r="S18" s="28" t="s">
        <v>101</v>
      </c>
      <c r="T18" s="30" t="s">
        <v>102</v>
      </c>
      <c r="U18" s="12"/>
      <c r="V18" s="45"/>
      <c r="W18" t="s">
        <v>64</v>
      </c>
    </row>
    <row r="19" spans="1:23" ht="25.15" customHeight="1" x14ac:dyDescent="0.25">
      <c r="A19" s="32"/>
      <c r="B19" s="109" t="s">
        <v>237</v>
      </c>
      <c r="C19" s="109"/>
      <c r="D19" s="109"/>
      <c r="E19" s="109"/>
      <c r="F19" s="109"/>
      <c r="G19" s="109"/>
      <c r="H19" s="110">
        <v>6</v>
      </c>
      <c r="I19" s="110"/>
      <c r="J19" s="110"/>
      <c r="K19" s="111">
        <v>244</v>
      </c>
      <c r="L19" s="111"/>
      <c r="M19" s="112" t="s">
        <v>142</v>
      </c>
      <c r="N19" s="112"/>
      <c r="O19" s="112"/>
      <c r="P19" s="35"/>
      <c r="R19" s="28">
        <v>13</v>
      </c>
      <c r="S19" s="28" t="s">
        <v>104</v>
      </c>
      <c r="T19" s="30" t="s">
        <v>103</v>
      </c>
      <c r="U19" s="12"/>
      <c r="V19" s="44" t="s">
        <v>51</v>
      </c>
      <c r="W19" t="s">
        <v>65</v>
      </c>
    </row>
    <row r="20" spans="1:23" ht="25.15" customHeight="1" x14ac:dyDescent="0.25">
      <c r="A20" s="32"/>
      <c r="B20" s="109" t="s">
        <v>238</v>
      </c>
      <c r="C20" s="109"/>
      <c r="D20" s="109"/>
      <c r="E20" s="109"/>
      <c r="F20" s="109"/>
      <c r="G20" s="109"/>
      <c r="H20" s="110">
        <v>20</v>
      </c>
      <c r="I20" s="110"/>
      <c r="J20" s="110"/>
      <c r="K20" s="111">
        <v>1048</v>
      </c>
      <c r="L20" s="111"/>
      <c r="M20" s="125" t="s">
        <v>125</v>
      </c>
      <c r="N20" s="112"/>
      <c r="O20" s="112"/>
      <c r="P20" s="35"/>
      <c r="R20" s="28">
        <v>14</v>
      </c>
      <c r="S20" s="28" t="s">
        <v>105</v>
      </c>
      <c r="T20" s="30" t="s">
        <v>106</v>
      </c>
      <c r="U20" s="12"/>
      <c r="V20" s="45"/>
      <c r="W20" t="s">
        <v>66</v>
      </c>
    </row>
    <row r="21" spans="1:23" ht="25.15" customHeight="1" x14ac:dyDescent="0.25">
      <c r="A21" s="32"/>
      <c r="B21" s="109" t="s">
        <v>239</v>
      </c>
      <c r="C21" s="109"/>
      <c r="D21" s="109"/>
      <c r="E21" s="109"/>
      <c r="F21" s="109"/>
      <c r="G21" s="109"/>
      <c r="H21" s="110">
        <v>1</v>
      </c>
      <c r="I21" s="110"/>
      <c r="J21" s="110"/>
      <c r="K21" s="111">
        <v>111</v>
      </c>
      <c r="L21" s="111"/>
      <c r="M21" s="112" t="s">
        <v>131</v>
      </c>
      <c r="N21" s="112"/>
      <c r="O21" s="112"/>
      <c r="P21" s="35"/>
      <c r="R21" s="28">
        <v>15</v>
      </c>
      <c r="S21" s="28" t="s">
        <v>108</v>
      </c>
      <c r="T21" s="30" t="s">
        <v>107</v>
      </c>
      <c r="U21" s="12"/>
      <c r="V21" s="45"/>
      <c r="W21" t="s">
        <v>68</v>
      </c>
    </row>
    <row r="22" spans="1:23" ht="25.15" customHeight="1" x14ac:dyDescent="0.25">
      <c r="A22" s="32"/>
      <c r="B22" s="109" t="s">
        <v>240</v>
      </c>
      <c r="C22" s="109"/>
      <c r="D22" s="109"/>
      <c r="E22" s="109"/>
      <c r="F22" s="109"/>
      <c r="G22" s="109"/>
      <c r="H22" s="110">
        <v>1</v>
      </c>
      <c r="I22" s="110"/>
      <c r="J22" s="110"/>
      <c r="K22" s="111">
        <v>105</v>
      </c>
      <c r="L22" s="111"/>
      <c r="M22" s="112" t="s">
        <v>142</v>
      </c>
      <c r="N22" s="112"/>
      <c r="O22" s="112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09" t="s">
        <v>199</v>
      </c>
      <c r="C23" s="109"/>
      <c r="D23" s="109"/>
      <c r="E23" s="109"/>
      <c r="F23" s="109"/>
      <c r="G23" s="109"/>
      <c r="H23" s="110">
        <v>7</v>
      </c>
      <c r="I23" s="110"/>
      <c r="J23" s="110"/>
      <c r="K23" s="111">
        <v>333</v>
      </c>
      <c r="L23" s="111"/>
      <c r="M23" s="112" t="s">
        <v>129</v>
      </c>
      <c r="N23" s="112"/>
      <c r="O23" s="112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09" t="s">
        <v>241</v>
      </c>
      <c r="C24" s="109"/>
      <c r="D24" s="109"/>
      <c r="E24" s="109"/>
      <c r="F24" s="109"/>
      <c r="G24" s="109"/>
      <c r="H24" s="110">
        <v>1</v>
      </c>
      <c r="I24" s="110"/>
      <c r="J24" s="110"/>
      <c r="K24" s="111">
        <v>10</v>
      </c>
      <c r="L24" s="111"/>
      <c r="M24" s="112" t="s">
        <v>129</v>
      </c>
      <c r="N24" s="112"/>
      <c r="O24" s="112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09" t="s">
        <v>148</v>
      </c>
      <c r="C25" s="109"/>
      <c r="D25" s="109"/>
      <c r="E25" s="109"/>
      <c r="F25" s="109"/>
      <c r="G25" s="109"/>
      <c r="H25" s="110">
        <v>2</v>
      </c>
      <c r="I25" s="110"/>
      <c r="J25" s="110"/>
      <c r="K25" s="111">
        <v>139</v>
      </c>
      <c r="L25" s="111"/>
      <c r="M25" s="112" t="s">
        <v>242</v>
      </c>
      <c r="N25" s="112"/>
      <c r="O25" s="112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09" t="s">
        <v>243</v>
      </c>
      <c r="C26" s="109"/>
      <c r="D26" s="109"/>
      <c r="E26" s="109"/>
      <c r="F26" s="109"/>
      <c r="G26" s="109"/>
      <c r="H26" s="110">
        <v>1</v>
      </c>
      <c r="I26" s="110"/>
      <c r="J26" s="110"/>
      <c r="K26" s="111">
        <v>19</v>
      </c>
      <c r="L26" s="111"/>
      <c r="M26" s="112" t="s">
        <v>125</v>
      </c>
      <c r="N26" s="112"/>
      <c r="O26" s="112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09" t="s">
        <v>244</v>
      </c>
      <c r="C27" s="109"/>
      <c r="D27" s="109"/>
      <c r="E27" s="109"/>
      <c r="F27" s="109"/>
      <c r="G27" s="109"/>
      <c r="H27" s="110">
        <v>5</v>
      </c>
      <c r="I27" s="110"/>
      <c r="J27" s="110"/>
      <c r="K27" s="111">
        <v>259</v>
      </c>
      <c r="L27" s="111"/>
      <c r="M27" s="112" t="s">
        <v>142</v>
      </c>
      <c r="N27" s="112"/>
      <c r="O27" s="112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09" t="s">
        <v>245</v>
      </c>
      <c r="C28" s="109"/>
      <c r="D28" s="109"/>
      <c r="E28" s="109"/>
      <c r="F28" s="109"/>
      <c r="G28" s="109"/>
      <c r="H28" s="110">
        <v>10</v>
      </c>
      <c r="I28" s="110"/>
      <c r="J28" s="110"/>
      <c r="K28" s="111">
        <v>1048</v>
      </c>
      <c r="L28" s="111"/>
      <c r="M28" s="112" t="s">
        <v>129</v>
      </c>
      <c r="N28" s="112"/>
      <c r="O28" s="112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09" t="s">
        <v>246</v>
      </c>
      <c r="C29" s="109"/>
      <c r="D29" s="109"/>
      <c r="E29" s="109"/>
      <c r="F29" s="109"/>
      <c r="G29" s="109"/>
      <c r="H29" s="110">
        <v>1</v>
      </c>
      <c r="I29" s="110"/>
      <c r="J29" s="110"/>
      <c r="K29" s="111">
        <v>33</v>
      </c>
      <c r="L29" s="111"/>
      <c r="M29" s="112" t="s">
        <v>129</v>
      </c>
      <c r="N29" s="112"/>
      <c r="O29" s="112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09" t="s">
        <v>247</v>
      </c>
      <c r="C30" s="109"/>
      <c r="D30" s="109"/>
      <c r="E30" s="109"/>
      <c r="F30" s="109"/>
      <c r="G30" s="109"/>
      <c r="H30" s="110">
        <v>1</v>
      </c>
      <c r="I30" s="110"/>
      <c r="J30" s="110"/>
      <c r="K30" s="111">
        <v>61</v>
      </c>
      <c r="L30" s="111"/>
      <c r="M30" s="112" t="s">
        <v>142</v>
      </c>
      <c r="N30" s="112"/>
      <c r="O30" s="112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09" t="s">
        <v>124</v>
      </c>
      <c r="C31" s="109"/>
      <c r="D31" s="109"/>
      <c r="E31" s="109"/>
      <c r="F31" s="109"/>
      <c r="G31" s="109"/>
      <c r="H31" s="110">
        <v>2</v>
      </c>
      <c r="I31" s="110"/>
      <c r="J31" s="110"/>
      <c r="K31" s="111">
        <v>117</v>
      </c>
      <c r="L31" s="111"/>
      <c r="M31" s="112" t="s">
        <v>125</v>
      </c>
      <c r="N31" s="112"/>
      <c r="O31" s="112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09"/>
      <c r="C32" s="109"/>
      <c r="D32" s="109"/>
      <c r="E32" s="109"/>
      <c r="F32" s="109"/>
      <c r="G32" s="109"/>
      <c r="H32" s="110"/>
      <c r="I32" s="110"/>
      <c r="J32" s="110"/>
      <c r="K32" s="111"/>
      <c r="L32" s="111"/>
      <c r="M32" s="112"/>
      <c r="N32" s="112"/>
      <c r="O32" s="112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09"/>
      <c r="C33" s="109"/>
      <c r="D33" s="109"/>
      <c r="E33" s="109"/>
      <c r="F33" s="109"/>
      <c r="G33" s="109"/>
      <c r="H33" s="110"/>
      <c r="I33" s="110"/>
      <c r="J33" s="110"/>
      <c r="K33" s="111"/>
      <c r="L33" s="111"/>
      <c r="M33" s="112"/>
      <c r="N33" s="112"/>
      <c r="O33" s="112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09"/>
      <c r="C34" s="109"/>
      <c r="D34" s="109"/>
      <c r="E34" s="109"/>
      <c r="F34" s="109"/>
      <c r="G34" s="109"/>
      <c r="H34" s="110"/>
      <c r="I34" s="110"/>
      <c r="J34" s="110"/>
      <c r="K34" s="111"/>
      <c r="L34" s="111"/>
      <c r="M34" s="112"/>
      <c r="N34" s="112"/>
      <c r="O34" s="112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26" t="s">
        <v>17</v>
      </c>
      <c r="B35" s="127"/>
      <c r="C35" s="127"/>
      <c r="D35" s="127"/>
      <c r="E35" s="127"/>
      <c r="F35" s="127"/>
      <c r="G35" s="116"/>
      <c r="H35" s="128">
        <f>SUM(H15:J34)</f>
        <v>212</v>
      </c>
      <c r="I35" s="129"/>
      <c r="J35" s="130"/>
      <c r="K35" s="131">
        <f>SUM(K15:L34)</f>
        <v>12865</v>
      </c>
      <c r="L35" s="132"/>
      <c r="M35" s="133"/>
      <c r="N35" s="134"/>
      <c r="O35" s="135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37" t="s">
        <v>22</v>
      </c>
      <c r="B37" s="138"/>
      <c r="C37" s="138"/>
      <c r="D37" s="139" t="s">
        <v>251</v>
      </c>
      <c r="E37" s="139"/>
      <c r="F37" s="139"/>
      <c r="G37" s="138" t="s">
        <v>23</v>
      </c>
      <c r="H37" s="138"/>
      <c r="I37" s="138"/>
      <c r="J37" s="138"/>
      <c r="K37" s="138"/>
      <c r="L37" s="138"/>
      <c r="M37" s="140" t="s">
        <v>249</v>
      </c>
      <c r="N37" s="140"/>
      <c r="O37" s="140"/>
      <c r="P37" s="141"/>
      <c r="R37" s="23"/>
      <c r="S37" s="24"/>
      <c r="T37" s="21"/>
      <c r="W37" t="s">
        <v>84</v>
      </c>
    </row>
    <row r="38" spans="1:23" ht="31.9" customHeight="1" x14ac:dyDescent="0.25">
      <c r="A38" s="142" t="s">
        <v>24</v>
      </c>
      <c r="B38" s="143"/>
      <c r="C38" s="143"/>
      <c r="D38" s="144" t="s">
        <v>250</v>
      </c>
      <c r="E38" s="144"/>
      <c r="F38" s="144"/>
      <c r="G38" s="143" t="s">
        <v>25</v>
      </c>
      <c r="H38" s="143"/>
      <c r="I38" s="143"/>
      <c r="J38" s="143"/>
      <c r="K38" s="143"/>
      <c r="L38" s="143"/>
      <c r="M38" s="145" t="s">
        <v>248</v>
      </c>
      <c r="N38" s="145"/>
      <c r="O38" s="145"/>
      <c r="P38" s="146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36" t="s">
        <v>18</v>
      </c>
      <c r="B40" s="136"/>
      <c r="C40" s="136"/>
      <c r="D40" s="4"/>
      <c r="E40" s="4"/>
      <c r="F40" s="136" t="s">
        <v>19</v>
      </c>
      <c r="G40" s="136"/>
      <c r="H40" s="36"/>
      <c r="I40" s="36"/>
      <c r="J40" s="36"/>
      <c r="K40" s="4"/>
      <c r="L40" s="136" t="s">
        <v>20</v>
      </c>
      <c r="M40" s="136"/>
      <c r="N40" s="136"/>
      <c r="O40" s="136"/>
      <c r="P40" s="136"/>
      <c r="W40" t="s">
        <v>87</v>
      </c>
    </row>
    <row r="41" spans="1:23" ht="8.25" customHeight="1" x14ac:dyDescent="0.25"/>
    <row r="42" spans="1:23" ht="36.75" customHeight="1" x14ac:dyDescent="0.25">
      <c r="A42" s="37"/>
      <c r="B42" s="37"/>
      <c r="C42" s="37"/>
      <c r="D42" s="38" t="s">
        <v>27</v>
      </c>
      <c r="E42" s="38"/>
      <c r="F42" s="38"/>
      <c r="G42" s="38"/>
      <c r="H42" s="38"/>
      <c r="I42" s="38"/>
      <c r="J42" s="38"/>
      <c r="K42" s="38"/>
      <c r="L42" s="38"/>
      <c r="M42" s="39" t="str">
        <f>M2</f>
        <v>FORM STR 03
REVISION NO 01</v>
      </c>
      <c r="N42" s="39"/>
      <c r="O42" s="39"/>
      <c r="P42" s="39"/>
      <c r="Q42" s="10"/>
      <c r="W42" t="s">
        <v>111</v>
      </c>
    </row>
    <row r="43" spans="1:23" ht="22.15" customHeight="1" x14ac:dyDescent="0.25">
      <c r="A43" s="37"/>
      <c r="B43" s="37"/>
      <c r="C43" s="37"/>
      <c r="D43" s="38"/>
      <c r="E43" s="38"/>
      <c r="F43" s="38"/>
      <c r="G43" s="38"/>
      <c r="H43" s="38"/>
      <c r="I43" s="38"/>
      <c r="J43" s="38"/>
      <c r="K43" s="38"/>
      <c r="L43" s="38"/>
      <c r="M43" s="39"/>
      <c r="N43" s="39"/>
      <c r="O43" s="39"/>
      <c r="P43" s="39"/>
      <c r="Q43" s="10"/>
    </row>
    <row r="44" spans="1:23" ht="17.45" customHeight="1" x14ac:dyDescent="0.25">
      <c r="A44" s="40"/>
      <c r="B44" s="40"/>
      <c r="C44" s="40"/>
      <c r="D44" s="41" t="s">
        <v>21</v>
      </c>
      <c r="E44" s="41"/>
      <c r="F44" s="41"/>
      <c r="G44" s="41"/>
      <c r="H44" s="41"/>
      <c r="I44" s="41"/>
      <c r="J44" s="41"/>
      <c r="K44" s="41"/>
      <c r="L44" s="41"/>
      <c r="M44" s="11"/>
    </row>
    <row r="45" spans="1:23" ht="22.15" customHeight="1" thickBot="1" x14ac:dyDescent="0.35">
      <c r="A45" s="42"/>
      <c r="B45" s="42"/>
      <c r="C45" s="1"/>
      <c r="D45" s="43" t="s">
        <v>90</v>
      </c>
      <c r="E45" s="43"/>
      <c r="F45" s="43"/>
      <c r="G45" s="43"/>
      <c r="H45" s="43"/>
      <c r="I45" s="43"/>
      <c r="J45" s="43"/>
      <c r="K45" s="43"/>
      <c r="L45" s="43"/>
      <c r="M45" s="2"/>
      <c r="N45" s="37"/>
      <c r="O45" s="37"/>
      <c r="P45" s="37"/>
    </row>
    <row r="46" spans="1:23" ht="15.6" customHeight="1" thickBot="1" x14ac:dyDescent="0.35">
      <c r="A46" s="71" t="s">
        <v>9</v>
      </c>
      <c r="B46" s="72"/>
      <c r="C46" s="73" t="str">
        <f>C6</f>
        <v>O545</v>
      </c>
      <c r="D46" s="73"/>
      <c r="E46" s="73"/>
      <c r="F46" s="74"/>
      <c r="G46" s="2"/>
      <c r="H46" s="75" t="s">
        <v>4</v>
      </c>
      <c r="I46" s="76"/>
      <c r="J46" s="76"/>
      <c r="K46" s="8" t="s">
        <v>7</v>
      </c>
      <c r="L46" s="77" t="str">
        <f>L6</f>
        <v>JP 523803</v>
      </c>
      <c r="M46" s="77"/>
      <c r="N46" s="77"/>
      <c r="O46" s="77"/>
      <c r="P46" s="78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52" t="s">
        <v>5</v>
      </c>
      <c r="I47" s="53"/>
      <c r="J47" s="53"/>
      <c r="K47" s="9" t="s">
        <v>7</v>
      </c>
      <c r="L47" s="79">
        <f ca="1">L7</f>
        <v>45689.589567129631</v>
      </c>
      <c r="M47" s="79"/>
      <c r="N47" s="79"/>
      <c r="O47" s="79"/>
      <c r="P47" s="80"/>
      <c r="R47" s="88"/>
      <c r="S47" s="88"/>
      <c r="T47" s="147"/>
      <c r="U47" s="26"/>
      <c r="V47" s="147"/>
    </row>
    <row r="48" spans="1:23" ht="18" customHeight="1" x14ac:dyDescent="0.3">
      <c r="A48" s="46" t="str">
        <f>A8</f>
        <v>Vertex Off-Dock Logistics Services Ltd.
1443/1509, Old Airport Road, Katghar, North Patenga,
Chattogram 4204, Bangladesh.</v>
      </c>
      <c r="B48" s="47"/>
      <c r="C48" s="47"/>
      <c r="D48" s="47"/>
      <c r="E48" s="47"/>
      <c r="F48" s="48"/>
      <c r="G48" s="2"/>
      <c r="H48" s="52" t="s">
        <v>8</v>
      </c>
      <c r="I48" s="53"/>
      <c r="J48" s="53"/>
      <c r="K48" s="9" t="s">
        <v>7</v>
      </c>
      <c r="L48" s="54" t="str">
        <f>L8</f>
        <v>SEA</v>
      </c>
      <c r="M48" s="54"/>
      <c r="N48" s="54"/>
      <c r="O48" s="54"/>
      <c r="P48" s="55"/>
      <c r="R48" s="88"/>
      <c r="S48" s="88"/>
      <c r="T48" s="148"/>
      <c r="U48" s="26"/>
      <c r="V48" s="148"/>
    </row>
    <row r="49" spans="1:22" ht="17.45" customHeight="1" x14ac:dyDescent="0.3">
      <c r="A49" s="46"/>
      <c r="B49" s="47"/>
      <c r="C49" s="47"/>
      <c r="D49" s="47"/>
      <c r="E49" s="47"/>
      <c r="F49" s="48"/>
      <c r="G49" s="2"/>
      <c r="H49" s="56" t="s">
        <v>6</v>
      </c>
      <c r="I49" s="57"/>
      <c r="J49" s="57"/>
      <c r="K49" s="62" t="s">
        <v>7</v>
      </c>
      <c r="L49" s="65" t="str">
        <f>L9</f>
        <v>M/S. Kabir &amp; Co.
1104DT Road West Madarbari,
Chattogram, Bangladesh.</v>
      </c>
      <c r="M49" s="65"/>
      <c r="N49" s="65"/>
      <c r="O49" s="65"/>
      <c r="P49" s="66"/>
      <c r="R49" s="88"/>
      <c r="S49" s="88"/>
      <c r="T49" s="148"/>
      <c r="U49" s="26"/>
      <c r="V49" s="148"/>
    </row>
    <row r="50" spans="1:22" ht="18" thickBot="1" x14ac:dyDescent="0.35">
      <c r="A50" s="49"/>
      <c r="B50" s="50"/>
      <c r="C50" s="50"/>
      <c r="D50" s="50"/>
      <c r="E50" s="50"/>
      <c r="F50" s="51"/>
      <c r="G50" s="2"/>
      <c r="H50" s="58"/>
      <c r="I50" s="59"/>
      <c r="J50" s="59"/>
      <c r="K50" s="63"/>
      <c r="L50" s="67"/>
      <c r="M50" s="67"/>
      <c r="N50" s="67"/>
      <c r="O50" s="67"/>
      <c r="P50" s="68"/>
      <c r="R50" s="88"/>
      <c r="S50" s="88"/>
      <c r="T50" s="147"/>
      <c r="U50" s="26"/>
      <c r="V50" s="147"/>
    </row>
    <row r="51" spans="1:22" ht="18" customHeight="1" thickBot="1" x14ac:dyDescent="0.35">
      <c r="A51" s="42"/>
      <c r="B51" s="42"/>
      <c r="C51" s="1"/>
      <c r="D51" s="2"/>
      <c r="E51" s="2"/>
      <c r="F51" s="2"/>
      <c r="G51" s="2"/>
      <c r="H51" s="60"/>
      <c r="I51" s="61"/>
      <c r="J51" s="61"/>
      <c r="K51" s="64"/>
      <c r="L51" s="69"/>
      <c r="M51" s="69"/>
      <c r="N51" s="69"/>
      <c r="O51" s="69"/>
      <c r="P51" s="70"/>
      <c r="R51" s="88"/>
      <c r="S51" s="88"/>
      <c r="T51" s="147"/>
      <c r="U51" s="26"/>
      <c r="V51" s="148"/>
    </row>
    <row r="52" spans="1:22" ht="16.149999999999999" customHeight="1" x14ac:dyDescent="0.25">
      <c r="A52" s="103" t="s">
        <v>12</v>
      </c>
      <c r="B52" s="104"/>
      <c r="C52" s="105" t="s">
        <v>0</v>
      </c>
      <c r="D52" s="105"/>
      <c r="E52" s="105"/>
      <c r="F52" s="105"/>
      <c r="G52" s="105"/>
      <c r="H52" s="81" t="s">
        <v>1</v>
      </c>
      <c r="I52" s="82"/>
      <c r="J52" s="82"/>
      <c r="K52" s="82"/>
      <c r="L52" s="83"/>
      <c r="M52" s="84" t="s">
        <v>16</v>
      </c>
      <c r="N52" s="85"/>
      <c r="O52" s="86"/>
      <c r="P52" s="93" t="s">
        <v>3</v>
      </c>
      <c r="R52" s="88"/>
      <c r="S52" s="88"/>
      <c r="T52" s="147"/>
      <c r="U52" s="26"/>
      <c r="V52" s="148"/>
    </row>
    <row r="53" spans="1:22" ht="16.149999999999999" customHeight="1" x14ac:dyDescent="0.25">
      <c r="A53" s="3" t="s">
        <v>13</v>
      </c>
      <c r="B53" s="33">
        <f>B13</f>
        <v>1</v>
      </c>
      <c r="C53" s="96" t="str">
        <f>C13</f>
        <v>Delivery of Readymade Garments</v>
      </c>
      <c r="D53" s="96"/>
      <c r="E53" s="96"/>
      <c r="F53" s="96"/>
      <c r="G53" s="96"/>
      <c r="H53" s="97" t="s">
        <v>2</v>
      </c>
      <c r="I53" s="98"/>
      <c r="J53" s="99"/>
      <c r="K53" s="97" t="s">
        <v>15</v>
      </c>
      <c r="L53" s="99"/>
      <c r="M53" s="87"/>
      <c r="N53" s="88"/>
      <c r="O53" s="89"/>
      <c r="P53" s="94"/>
      <c r="R53" s="88"/>
      <c r="S53" s="88"/>
      <c r="T53" s="147"/>
      <c r="V53" s="147"/>
    </row>
    <row r="54" spans="1:22" ht="16.149999999999999" customHeight="1" thickBot="1" x14ac:dyDescent="0.3">
      <c r="A54" s="113" t="s">
        <v>11</v>
      </c>
      <c r="B54" s="114"/>
      <c r="C54" s="115" t="str">
        <f>C14</f>
        <v>H &amp; M</v>
      </c>
      <c r="D54" s="116"/>
      <c r="E54" s="117" t="s">
        <v>88</v>
      </c>
      <c r="F54" s="118"/>
      <c r="G54" s="114"/>
      <c r="H54" s="100"/>
      <c r="I54" s="101"/>
      <c r="J54" s="102"/>
      <c r="K54" s="100"/>
      <c r="L54" s="102"/>
      <c r="M54" s="90"/>
      <c r="N54" s="91"/>
      <c r="O54" s="92"/>
      <c r="P54" s="95"/>
      <c r="R54" s="88"/>
      <c r="S54" s="88"/>
      <c r="T54" s="147"/>
      <c r="V54" s="148"/>
    </row>
    <row r="55" spans="1:22" ht="25.15" customHeight="1" x14ac:dyDescent="0.25">
      <c r="A55" s="31">
        <f>A15</f>
        <v>0</v>
      </c>
      <c r="B55" s="119" t="str">
        <f>B15</f>
        <v>313888-5832</v>
      </c>
      <c r="C55" s="119"/>
      <c r="D55" s="119"/>
      <c r="E55" s="119"/>
      <c r="F55" s="119"/>
      <c r="G55" s="119"/>
      <c r="H55" s="120">
        <f>H15</f>
        <v>54</v>
      </c>
      <c r="I55" s="121"/>
      <c r="J55" s="122"/>
      <c r="K55" s="123">
        <f>K15</f>
        <v>4412</v>
      </c>
      <c r="L55" s="124"/>
      <c r="M55" s="106" t="str">
        <f>M15</f>
        <v>GB,PA</v>
      </c>
      <c r="N55" s="107"/>
      <c r="O55" s="108"/>
      <c r="P55" s="35">
        <f>P15</f>
        <v>0</v>
      </c>
      <c r="R55" s="88"/>
      <c r="S55" s="88"/>
      <c r="T55" s="147"/>
      <c r="V55" s="148"/>
    </row>
    <row r="56" spans="1:22" ht="25.15" customHeight="1" x14ac:dyDescent="0.25">
      <c r="A56" s="32">
        <f>A16</f>
        <v>0</v>
      </c>
      <c r="B56" s="109" t="str">
        <f>B16</f>
        <v>318457-5832</v>
      </c>
      <c r="C56" s="109"/>
      <c r="D56" s="109"/>
      <c r="E56" s="109"/>
      <c r="F56" s="109"/>
      <c r="G56" s="109"/>
      <c r="H56" s="110">
        <f>H16</f>
        <v>34</v>
      </c>
      <c r="I56" s="110"/>
      <c r="J56" s="110"/>
      <c r="K56" s="111">
        <f>K16</f>
        <v>3299</v>
      </c>
      <c r="L56" s="111"/>
      <c r="M56" s="112" t="str">
        <f t="shared" ref="M56:M74" si="0">M16</f>
        <v>GB</v>
      </c>
      <c r="N56" s="112"/>
      <c r="O56" s="112"/>
      <c r="P56" s="35">
        <f>P16</f>
        <v>0</v>
      </c>
      <c r="R56" s="88"/>
      <c r="S56" s="88"/>
      <c r="T56" s="67"/>
      <c r="V56" s="147"/>
    </row>
    <row r="57" spans="1:22" ht="25.15" customHeight="1" x14ac:dyDescent="0.25">
      <c r="A57" s="32">
        <f t="shared" ref="A57:B72" si="1">A17</f>
        <v>0</v>
      </c>
      <c r="B57" s="109" t="str">
        <f t="shared" si="1"/>
        <v>317923-5833</v>
      </c>
      <c r="C57" s="109"/>
      <c r="D57" s="109"/>
      <c r="E57" s="109"/>
      <c r="F57" s="109"/>
      <c r="G57" s="109"/>
      <c r="H57" s="110">
        <f>H17</f>
        <v>65</v>
      </c>
      <c r="I57" s="110"/>
      <c r="J57" s="110"/>
      <c r="K57" s="111">
        <f>K17</f>
        <v>1601</v>
      </c>
      <c r="L57" s="111"/>
      <c r="M57" s="112" t="str">
        <f t="shared" si="0"/>
        <v>GB</v>
      </c>
      <c r="N57" s="112"/>
      <c r="O57" s="112"/>
      <c r="P57" s="35">
        <f t="shared" ref="P57:P74" si="2">P17</f>
        <v>0</v>
      </c>
      <c r="R57" s="88"/>
      <c r="S57" s="88"/>
      <c r="T57" s="67"/>
      <c r="V57" s="148"/>
    </row>
    <row r="58" spans="1:22" ht="25.15" customHeight="1" x14ac:dyDescent="0.25">
      <c r="A58" s="32">
        <f t="shared" si="1"/>
        <v>0</v>
      </c>
      <c r="B58" s="109" t="str">
        <f t="shared" si="1"/>
        <v>324414-5832</v>
      </c>
      <c r="C58" s="109"/>
      <c r="D58" s="109"/>
      <c r="E58" s="109"/>
      <c r="F58" s="109"/>
      <c r="G58" s="109"/>
      <c r="H58" s="110">
        <f t="shared" ref="H58:H74" si="3">H18</f>
        <v>1</v>
      </c>
      <c r="I58" s="110"/>
      <c r="J58" s="110"/>
      <c r="K58" s="111">
        <f t="shared" ref="K58:K74" si="4">K18</f>
        <v>26</v>
      </c>
      <c r="L58" s="111"/>
      <c r="M58" s="112" t="str">
        <f t="shared" si="0"/>
        <v>OL</v>
      </c>
      <c r="N58" s="112"/>
      <c r="O58" s="112"/>
      <c r="P58" s="35">
        <f t="shared" si="2"/>
        <v>0</v>
      </c>
      <c r="R58" s="88"/>
      <c r="S58" s="88"/>
      <c r="T58" s="67"/>
      <c r="V58" s="148"/>
    </row>
    <row r="59" spans="1:22" ht="25.15" customHeight="1" x14ac:dyDescent="0.25">
      <c r="A59" s="32">
        <f t="shared" si="1"/>
        <v>0</v>
      </c>
      <c r="B59" s="109" t="str">
        <f t="shared" si="1"/>
        <v>285443-5832</v>
      </c>
      <c r="C59" s="109"/>
      <c r="D59" s="109"/>
      <c r="E59" s="109"/>
      <c r="F59" s="109"/>
      <c r="G59" s="109"/>
      <c r="H59" s="110">
        <f t="shared" si="3"/>
        <v>6</v>
      </c>
      <c r="I59" s="110"/>
      <c r="J59" s="110"/>
      <c r="K59" s="111">
        <f t="shared" si="4"/>
        <v>244</v>
      </c>
      <c r="L59" s="111"/>
      <c r="M59" s="112" t="str">
        <f t="shared" si="0"/>
        <v>OB</v>
      </c>
      <c r="N59" s="112"/>
      <c r="O59" s="112"/>
      <c r="P59" s="35">
        <f t="shared" si="2"/>
        <v>0</v>
      </c>
      <c r="R59" s="88"/>
      <c r="S59" s="88"/>
      <c r="T59" s="67"/>
      <c r="V59" s="147"/>
    </row>
    <row r="60" spans="1:22" ht="25.15" customHeight="1" x14ac:dyDescent="0.25">
      <c r="A60" s="32">
        <f t="shared" si="1"/>
        <v>0</v>
      </c>
      <c r="B60" s="109" t="str">
        <f t="shared" si="1"/>
        <v>323654-5832</v>
      </c>
      <c r="C60" s="109"/>
      <c r="D60" s="109"/>
      <c r="E60" s="109"/>
      <c r="F60" s="109"/>
      <c r="G60" s="109"/>
      <c r="H60" s="110">
        <f t="shared" si="3"/>
        <v>20</v>
      </c>
      <c r="I60" s="110"/>
      <c r="J60" s="110"/>
      <c r="K60" s="111">
        <f t="shared" si="4"/>
        <v>1048</v>
      </c>
      <c r="L60" s="111"/>
      <c r="M60" s="112" t="str">
        <f t="shared" si="0"/>
        <v>OG</v>
      </c>
      <c r="N60" s="112"/>
      <c r="O60" s="112"/>
      <c r="P60" s="35">
        <f t="shared" si="2"/>
        <v>0</v>
      </c>
      <c r="R60" s="88"/>
      <c r="S60" s="88"/>
      <c r="T60" s="67"/>
      <c r="V60" s="148"/>
    </row>
    <row r="61" spans="1:22" ht="25.15" customHeight="1" x14ac:dyDescent="0.25">
      <c r="A61" s="32">
        <f t="shared" si="1"/>
        <v>0</v>
      </c>
      <c r="B61" s="109" t="str">
        <f t="shared" si="1"/>
        <v>318423-5832</v>
      </c>
      <c r="C61" s="109"/>
      <c r="D61" s="109"/>
      <c r="E61" s="109"/>
      <c r="F61" s="109"/>
      <c r="G61" s="109"/>
      <c r="H61" s="110">
        <f t="shared" si="3"/>
        <v>1</v>
      </c>
      <c r="I61" s="110"/>
      <c r="J61" s="110"/>
      <c r="K61" s="111">
        <f t="shared" si="4"/>
        <v>111</v>
      </c>
      <c r="L61" s="111"/>
      <c r="M61" s="112" t="str">
        <f t="shared" si="0"/>
        <v>GB</v>
      </c>
      <c r="N61" s="112"/>
      <c r="O61" s="112"/>
      <c r="P61" s="35">
        <f t="shared" si="2"/>
        <v>0</v>
      </c>
      <c r="R61" s="88"/>
      <c r="S61" s="88"/>
      <c r="T61" s="67"/>
      <c r="V61" s="148"/>
    </row>
    <row r="62" spans="1:22" ht="25.15" customHeight="1" x14ac:dyDescent="0.25">
      <c r="A62" s="32">
        <f t="shared" si="1"/>
        <v>0</v>
      </c>
      <c r="B62" s="109" t="str">
        <f t="shared" si="1"/>
        <v>302714-5832</v>
      </c>
      <c r="C62" s="109"/>
      <c r="D62" s="109"/>
      <c r="E62" s="109"/>
      <c r="F62" s="109"/>
      <c r="G62" s="109"/>
      <c r="H62" s="110">
        <f t="shared" si="3"/>
        <v>1</v>
      </c>
      <c r="I62" s="110"/>
      <c r="J62" s="110"/>
      <c r="K62" s="111">
        <f t="shared" si="4"/>
        <v>105</v>
      </c>
      <c r="L62" s="111"/>
      <c r="M62" s="112" t="str">
        <f t="shared" si="0"/>
        <v>OB</v>
      </c>
      <c r="N62" s="112"/>
      <c r="O62" s="112"/>
      <c r="P62" s="35">
        <f t="shared" si="2"/>
        <v>0</v>
      </c>
      <c r="R62" s="88"/>
      <c r="S62" s="88"/>
      <c r="T62" s="67"/>
    </row>
    <row r="63" spans="1:22" ht="25.15" customHeight="1" x14ac:dyDescent="0.25">
      <c r="A63" s="32">
        <f t="shared" si="1"/>
        <v>0</v>
      </c>
      <c r="B63" s="109" t="str">
        <f t="shared" si="1"/>
        <v>321792-7272</v>
      </c>
      <c r="C63" s="109"/>
      <c r="D63" s="109"/>
      <c r="E63" s="109"/>
      <c r="F63" s="109"/>
      <c r="G63" s="109"/>
      <c r="H63" s="110">
        <f t="shared" si="3"/>
        <v>7</v>
      </c>
      <c r="I63" s="110"/>
      <c r="J63" s="110"/>
      <c r="K63" s="111">
        <f t="shared" si="4"/>
        <v>333</v>
      </c>
      <c r="L63" s="111"/>
      <c r="M63" s="112" t="str">
        <f t="shared" si="0"/>
        <v>PA</v>
      </c>
      <c r="N63" s="112"/>
      <c r="O63" s="112"/>
      <c r="P63" s="35">
        <f t="shared" si="2"/>
        <v>0</v>
      </c>
      <c r="R63" s="88"/>
      <c r="S63" s="88"/>
      <c r="T63" s="67"/>
    </row>
    <row r="64" spans="1:22" ht="25.15" customHeight="1" x14ac:dyDescent="0.25">
      <c r="A64" s="32">
        <f t="shared" si="1"/>
        <v>0</v>
      </c>
      <c r="B64" s="109" t="str">
        <f t="shared" si="1"/>
        <v>320808-5833</v>
      </c>
      <c r="C64" s="109"/>
      <c r="D64" s="109"/>
      <c r="E64" s="109"/>
      <c r="F64" s="109"/>
      <c r="G64" s="109"/>
      <c r="H64" s="110">
        <f t="shared" si="3"/>
        <v>1</v>
      </c>
      <c r="I64" s="110"/>
      <c r="J64" s="110"/>
      <c r="K64" s="111">
        <f t="shared" si="4"/>
        <v>10</v>
      </c>
      <c r="L64" s="111"/>
      <c r="M64" s="112" t="str">
        <f t="shared" si="0"/>
        <v>PA</v>
      </c>
      <c r="N64" s="112"/>
      <c r="O64" s="112"/>
      <c r="P64" s="35">
        <f t="shared" si="2"/>
        <v>0</v>
      </c>
      <c r="R64" s="88"/>
      <c r="S64" s="88"/>
      <c r="T64" s="67"/>
    </row>
    <row r="65" spans="1:20" ht="25.15" customHeight="1" x14ac:dyDescent="0.25">
      <c r="A65" s="32">
        <f t="shared" si="1"/>
        <v>0</v>
      </c>
      <c r="B65" s="109" t="str">
        <f t="shared" si="1"/>
        <v>324425-5832</v>
      </c>
      <c r="C65" s="109"/>
      <c r="D65" s="109"/>
      <c r="E65" s="109"/>
      <c r="F65" s="109"/>
      <c r="G65" s="109"/>
      <c r="H65" s="110">
        <f t="shared" si="3"/>
        <v>2</v>
      </c>
      <c r="I65" s="110"/>
      <c r="J65" s="110"/>
      <c r="K65" s="111">
        <f t="shared" si="4"/>
        <v>139</v>
      </c>
      <c r="L65" s="111"/>
      <c r="M65" s="112" t="str">
        <f t="shared" si="0"/>
        <v>IX65</v>
      </c>
      <c r="N65" s="112"/>
      <c r="O65" s="112"/>
      <c r="P65" s="35">
        <f t="shared" si="2"/>
        <v>0</v>
      </c>
      <c r="R65" s="88"/>
      <c r="S65" s="88"/>
      <c r="T65" s="67"/>
    </row>
    <row r="66" spans="1:20" ht="25.15" customHeight="1" x14ac:dyDescent="0.25">
      <c r="A66" s="32">
        <f t="shared" si="1"/>
        <v>0</v>
      </c>
      <c r="B66" s="109" t="str">
        <f t="shared" si="1"/>
        <v>308831-5828</v>
      </c>
      <c r="C66" s="109"/>
      <c r="D66" s="109"/>
      <c r="E66" s="109"/>
      <c r="F66" s="109"/>
      <c r="G66" s="109"/>
      <c r="H66" s="110">
        <f t="shared" si="3"/>
        <v>1</v>
      </c>
      <c r="I66" s="110"/>
      <c r="J66" s="110"/>
      <c r="K66" s="111">
        <f t="shared" si="4"/>
        <v>19</v>
      </c>
      <c r="L66" s="111"/>
      <c r="M66" s="112" t="str">
        <f t="shared" si="0"/>
        <v>OG</v>
      </c>
      <c r="N66" s="112"/>
      <c r="O66" s="112"/>
      <c r="P66" s="35">
        <f t="shared" si="2"/>
        <v>0</v>
      </c>
      <c r="R66" s="88"/>
      <c r="S66" s="88"/>
      <c r="T66" s="67"/>
    </row>
    <row r="67" spans="1:20" ht="25.15" customHeight="1" x14ac:dyDescent="0.25">
      <c r="A67" s="32">
        <f t="shared" si="1"/>
        <v>0</v>
      </c>
      <c r="B67" s="109" t="str">
        <f t="shared" si="1"/>
        <v>304166-7272</v>
      </c>
      <c r="C67" s="109"/>
      <c r="D67" s="109"/>
      <c r="E67" s="109"/>
      <c r="F67" s="109"/>
      <c r="G67" s="109"/>
      <c r="H67" s="110">
        <f t="shared" si="3"/>
        <v>5</v>
      </c>
      <c r="I67" s="110"/>
      <c r="J67" s="110"/>
      <c r="K67" s="111">
        <f t="shared" si="4"/>
        <v>259</v>
      </c>
      <c r="L67" s="111"/>
      <c r="M67" s="112" t="str">
        <f t="shared" si="0"/>
        <v>OB</v>
      </c>
      <c r="N67" s="112"/>
      <c r="O67" s="112"/>
      <c r="P67" s="35">
        <f t="shared" si="2"/>
        <v>0</v>
      </c>
      <c r="R67" s="88"/>
      <c r="S67" s="88"/>
      <c r="T67" s="67"/>
    </row>
    <row r="68" spans="1:20" ht="25.15" customHeight="1" x14ac:dyDescent="0.25">
      <c r="A68" s="32">
        <f t="shared" si="1"/>
        <v>0</v>
      </c>
      <c r="B68" s="109" t="str">
        <f t="shared" si="1"/>
        <v>291911-5832</v>
      </c>
      <c r="C68" s="109"/>
      <c r="D68" s="109"/>
      <c r="E68" s="109"/>
      <c r="F68" s="109"/>
      <c r="G68" s="109"/>
      <c r="H68" s="110">
        <f t="shared" si="3"/>
        <v>10</v>
      </c>
      <c r="I68" s="110"/>
      <c r="J68" s="110"/>
      <c r="K68" s="111">
        <f t="shared" si="4"/>
        <v>1048</v>
      </c>
      <c r="L68" s="111"/>
      <c r="M68" s="112" t="str">
        <f t="shared" si="0"/>
        <v>PA</v>
      </c>
      <c r="N68" s="112"/>
      <c r="O68" s="112"/>
      <c r="P68" s="35">
        <f t="shared" si="2"/>
        <v>0</v>
      </c>
      <c r="R68" s="88"/>
      <c r="S68" s="88"/>
      <c r="T68" s="67"/>
    </row>
    <row r="69" spans="1:20" ht="25.15" customHeight="1" x14ac:dyDescent="0.25">
      <c r="A69" s="32">
        <f t="shared" si="1"/>
        <v>0</v>
      </c>
      <c r="B69" s="109" t="str">
        <f t="shared" si="1"/>
        <v>318421-5832</v>
      </c>
      <c r="C69" s="109"/>
      <c r="D69" s="109"/>
      <c r="E69" s="109"/>
      <c r="F69" s="109"/>
      <c r="G69" s="109"/>
      <c r="H69" s="110">
        <f t="shared" si="3"/>
        <v>1</v>
      </c>
      <c r="I69" s="110"/>
      <c r="J69" s="110"/>
      <c r="K69" s="111">
        <f t="shared" si="4"/>
        <v>33</v>
      </c>
      <c r="L69" s="111"/>
      <c r="M69" s="112" t="str">
        <f t="shared" si="0"/>
        <v>PA</v>
      </c>
      <c r="N69" s="112"/>
      <c r="O69" s="112"/>
      <c r="P69" s="35">
        <f t="shared" si="2"/>
        <v>0</v>
      </c>
      <c r="R69" s="88"/>
      <c r="S69" s="88"/>
      <c r="T69" s="67"/>
    </row>
    <row r="70" spans="1:20" ht="25.15" customHeight="1" x14ac:dyDescent="0.25">
      <c r="A70" s="32">
        <f t="shared" si="1"/>
        <v>0</v>
      </c>
      <c r="B70" s="109" t="str">
        <f t="shared" si="1"/>
        <v>302669-5832</v>
      </c>
      <c r="C70" s="109"/>
      <c r="D70" s="109"/>
      <c r="E70" s="109"/>
      <c r="F70" s="109"/>
      <c r="G70" s="109"/>
      <c r="H70" s="110">
        <f t="shared" si="3"/>
        <v>1</v>
      </c>
      <c r="I70" s="110"/>
      <c r="J70" s="110"/>
      <c r="K70" s="111">
        <f t="shared" si="4"/>
        <v>61</v>
      </c>
      <c r="L70" s="111"/>
      <c r="M70" s="112" t="str">
        <f t="shared" si="0"/>
        <v>OB</v>
      </c>
      <c r="N70" s="112"/>
      <c r="O70" s="112"/>
      <c r="P70" s="35">
        <f t="shared" si="2"/>
        <v>0</v>
      </c>
      <c r="R70" s="88"/>
      <c r="S70" s="88"/>
      <c r="T70" s="67"/>
    </row>
    <row r="71" spans="1:20" ht="25.15" customHeight="1" x14ac:dyDescent="0.25">
      <c r="A71" s="32">
        <f t="shared" si="1"/>
        <v>0</v>
      </c>
      <c r="B71" s="109" t="str">
        <f t="shared" si="1"/>
        <v>323686-5832</v>
      </c>
      <c r="C71" s="109"/>
      <c r="D71" s="109"/>
      <c r="E71" s="109"/>
      <c r="F71" s="109"/>
      <c r="G71" s="109"/>
      <c r="H71" s="110">
        <f t="shared" si="3"/>
        <v>2</v>
      </c>
      <c r="I71" s="110"/>
      <c r="J71" s="110"/>
      <c r="K71" s="111">
        <f t="shared" si="4"/>
        <v>117</v>
      </c>
      <c r="L71" s="111"/>
      <c r="M71" s="112" t="str">
        <f t="shared" si="0"/>
        <v>OG</v>
      </c>
      <c r="N71" s="112"/>
      <c r="O71" s="112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09">
        <f t="shared" si="1"/>
        <v>0</v>
      </c>
      <c r="C72" s="109"/>
      <c r="D72" s="109"/>
      <c r="E72" s="109"/>
      <c r="F72" s="109"/>
      <c r="G72" s="109"/>
      <c r="H72" s="110">
        <f t="shared" si="3"/>
        <v>0</v>
      </c>
      <c r="I72" s="110"/>
      <c r="J72" s="110"/>
      <c r="K72" s="111">
        <f t="shared" si="4"/>
        <v>0</v>
      </c>
      <c r="L72" s="111"/>
      <c r="M72" s="112">
        <f t="shared" si="0"/>
        <v>0</v>
      </c>
      <c r="N72" s="112"/>
      <c r="O72" s="112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09">
        <f t="shared" si="5"/>
        <v>0</v>
      </c>
      <c r="C73" s="109"/>
      <c r="D73" s="109"/>
      <c r="E73" s="109"/>
      <c r="F73" s="109"/>
      <c r="G73" s="109"/>
      <c r="H73" s="110">
        <f t="shared" si="3"/>
        <v>0</v>
      </c>
      <c r="I73" s="110"/>
      <c r="J73" s="110"/>
      <c r="K73" s="111">
        <f t="shared" si="4"/>
        <v>0</v>
      </c>
      <c r="L73" s="111"/>
      <c r="M73" s="112">
        <f t="shared" si="0"/>
        <v>0</v>
      </c>
      <c r="N73" s="112"/>
      <c r="O73" s="112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09">
        <f t="shared" si="5"/>
        <v>0</v>
      </c>
      <c r="C74" s="109"/>
      <c r="D74" s="109"/>
      <c r="E74" s="109"/>
      <c r="F74" s="109"/>
      <c r="G74" s="109"/>
      <c r="H74" s="110">
        <f t="shared" si="3"/>
        <v>0</v>
      </c>
      <c r="I74" s="110"/>
      <c r="J74" s="110"/>
      <c r="K74" s="111">
        <f t="shared" si="4"/>
        <v>0</v>
      </c>
      <c r="L74" s="111"/>
      <c r="M74" s="112">
        <f t="shared" si="0"/>
        <v>0</v>
      </c>
      <c r="N74" s="112"/>
      <c r="O74" s="112"/>
      <c r="P74" s="35">
        <f t="shared" si="2"/>
        <v>0</v>
      </c>
    </row>
    <row r="75" spans="1:20" ht="21.95" customHeight="1" thickBot="1" x14ac:dyDescent="0.3">
      <c r="A75" s="126" t="s">
        <v>17</v>
      </c>
      <c r="B75" s="127"/>
      <c r="C75" s="127"/>
      <c r="D75" s="127"/>
      <c r="E75" s="127"/>
      <c r="F75" s="127"/>
      <c r="G75" s="116"/>
      <c r="H75" s="128">
        <f>SUM(H55:J74)</f>
        <v>212</v>
      </c>
      <c r="I75" s="129"/>
      <c r="J75" s="130"/>
      <c r="K75" s="131">
        <f>SUM(K55:L74)</f>
        <v>12865</v>
      </c>
      <c r="L75" s="132"/>
      <c r="M75" s="133"/>
      <c r="N75" s="134"/>
      <c r="O75" s="135"/>
      <c r="P75" s="19"/>
    </row>
    <row r="77" spans="1:20" ht="31.9" customHeight="1" x14ac:dyDescent="0.25">
      <c r="A77" s="137" t="s">
        <v>22</v>
      </c>
      <c r="B77" s="138"/>
      <c r="C77" s="138"/>
      <c r="D77" s="139" t="str">
        <f>D37</f>
        <v>MD.OHEDULLA</v>
      </c>
      <c r="E77" s="139"/>
      <c r="F77" s="139"/>
      <c r="G77" s="138" t="s">
        <v>23</v>
      </c>
      <c r="H77" s="138"/>
      <c r="I77" s="138"/>
      <c r="J77" s="138"/>
      <c r="K77" s="138"/>
      <c r="L77" s="138"/>
      <c r="M77" s="140" t="str">
        <f>M37</f>
        <v>01875-171707</v>
      </c>
      <c r="N77" s="140"/>
      <c r="O77" s="140"/>
      <c r="P77" s="141"/>
    </row>
    <row r="78" spans="1:20" ht="31.9" customHeight="1" x14ac:dyDescent="0.25">
      <c r="A78" s="142" t="s">
        <v>24</v>
      </c>
      <c r="B78" s="143"/>
      <c r="C78" s="143"/>
      <c r="D78" s="144" t="str">
        <f>D38</f>
        <v>OOOO3</v>
      </c>
      <c r="E78" s="144"/>
      <c r="F78" s="144"/>
      <c r="G78" s="143" t="s">
        <v>25</v>
      </c>
      <c r="H78" s="143"/>
      <c r="I78" s="143"/>
      <c r="J78" s="143"/>
      <c r="K78" s="143"/>
      <c r="L78" s="143"/>
      <c r="M78" s="145" t="str">
        <f>M38</f>
        <v>D.M.TA 13-0867</v>
      </c>
      <c r="N78" s="145"/>
      <c r="O78" s="145"/>
      <c r="P78" s="146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36" t="s">
        <v>18</v>
      </c>
      <c r="B80" s="136"/>
      <c r="C80" s="136"/>
      <c r="D80" s="4"/>
      <c r="E80" s="4"/>
      <c r="F80" s="136" t="s">
        <v>19</v>
      </c>
      <c r="G80" s="136"/>
      <c r="H80" s="36"/>
      <c r="I80" s="36"/>
      <c r="J80" s="36"/>
      <c r="K80" s="4"/>
      <c r="L80" s="136" t="s">
        <v>20</v>
      </c>
      <c r="M80" s="136"/>
      <c r="N80" s="136"/>
      <c r="O80" s="136"/>
      <c r="P80" s="136"/>
    </row>
    <row r="81" spans="1:22" ht="8.25" customHeight="1" x14ac:dyDescent="0.25"/>
    <row r="82" spans="1:22" ht="36.75" customHeight="1" x14ac:dyDescent="0.25">
      <c r="A82" s="37"/>
      <c r="B82" s="37"/>
      <c r="C82" s="37"/>
      <c r="D82" s="38" t="s">
        <v>27</v>
      </c>
      <c r="E82" s="38"/>
      <c r="F82" s="38"/>
      <c r="G82" s="38"/>
      <c r="H82" s="38"/>
      <c r="I82" s="38"/>
      <c r="J82" s="38"/>
      <c r="K82" s="38"/>
      <c r="L82" s="38"/>
      <c r="M82" s="39" t="str">
        <f>M42</f>
        <v>FORM STR 03
REVISION NO 01</v>
      </c>
      <c r="N82" s="39"/>
      <c r="O82" s="39"/>
      <c r="P82" s="39"/>
      <c r="Q82" s="10"/>
    </row>
    <row r="83" spans="1:22" ht="22.15" customHeight="1" x14ac:dyDescent="0.25">
      <c r="A83" s="37"/>
      <c r="B83" s="37"/>
      <c r="C83" s="37"/>
      <c r="D83" s="38"/>
      <c r="E83" s="38"/>
      <c r="F83" s="38"/>
      <c r="G83" s="38"/>
      <c r="H83" s="38"/>
      <c r="I83" s="38"/>
      <c r="J83" s="38"/>
      <c r="K83" s="38"/>
      <c r="L83" s="38"/>
      <c r="M83" s="39"/>
      <c r="N83" s="39"/>
      <c r="O83" s="39"/>
      <c r="P83" s="39"/>
      <c r="Q83" s="10"/>
    </row>
    <row r="84" spans="1:22" ht="17.45" customHeight="1" x14ac:dyDescent="0.25">
      <c r="A84" s="40"/>
      <c r="B84" s="40"/>
      <c r="C84" s="40"/>
      <c r="D84" s="41" t="s">
        <v>21</v>
      </c>
      <c r="E84" s="41"/>
      <c r="F84" s="41"/>
      <c r="G84" s="41"/>
      <c r="H84" s="41"/>
      <c r="I84" s="41"/>
      <c r="J84" s="41"/>
      <c r="K84" s="41"/>
      <c r="L84" s="41"/>
      <c r="M84" s="11"/>
    </row>
    <row r="85" spans="1:22" ht="22.15" customHeight="1" thickBot="1" x14ac:dyDescent="0.35">
      <c r="A85" s="42"/>
      <c r="B85" s="42"/>
      <c r="C85" s="1"/>
      <c r="D85" s="43" t="s">
        <v>91</v>
      </c>
      <c r="E85" s="43"/>
      <c r="F85" s="43"/>
      <c r="G85" s="43"/>
      <c r="H85" s="43"/>
      <c r="I85" s="43"/>
      <c r="J85" s="43"/>
      <c r="K85" s="43"/>
      <c r="L85" s="43"/>
      <c r="M85" s="2"/>
      <c r="N85" s="37"/>
      <c r="O85" s="37"/>
      <c r="P85" s="37"/>
    </row>
    <row r="86" spans="1:22" ht="15.6" customHeight="1" thickBot="1" x14ac:dyDescent="0.35">
      <c r="A86" s="71" t="s">
        <v>9</v>
      </c>
      <c r="B86" s="72"/>
      <c r="C86" s="73" t="str">
        <f>C46</f>
        <v>O545</v>
      </c>
      <c r="D86" s="73"/>
      <c r="E86" s="73"/>
      <c r="F86" s="74"/>
      <c r="G86" s="2"/>
      <c r="H86" s="75" t="s">
        <v>4</v>
      </c>
      <c r="I86" s="76"/>
      <c r="J86" s="76"/>
      <c r="K86" s="8" t="s">
        <v>7</v>
      </c>
      <c r="L86" s="77" t="str">
        <f>L46</f>
        <v>JP 523803</v>
      </c>
      <c r="M86" s="77"/>
      <c r="N86" s="77"/>
      <c r="O86" s="77"/>
      <c r="P86" s="78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52" t="s">
        <v>5</v>
      </c>
      <c r="I87" s="53"/>
      <c r="J87" s="53"/>
      <c r="K87" s="9" t="s">
        <v>7</v>
      </c>
      <c r="L87" s="79">
        <f ca="1">L47</f>
        <v>45689.589567129631</v>
      </c>
      <c r="M87" s="79"/>
      <c r="N87" s="79"/>
      <c r="O87" s="79"/>
      <c r="P87" s="80"/>
      <c r="R87" s="88"/>
      <c r="S87" s="88"/>
      <c r="T87" s="147"/>
      <c r="U87" s="26"/>
      <c r="V87" s="147"/>
    </row>
    <row r="88" spans="1:22" ht="18" customHeight="1" x14ac:dyDescent="0.3">
      <c r="A88" s="46" t="str">
        <f>A48</f>
        <v>Vertex Off-Dock Logistics Services Ltd.
1443/1509, Old Airport Road, Katghar, North Patenga,
Chattogram 4204, Bangladesh.</v>
      </c>
      <c r="B88" s="47"/>
      <c r="C88" s="47"/>
      <c r="D88" s="47"/>
      <c r="E88" s="47"/>
      <c r="F88" s="48"/>
      <c r="G88" s="2"/>
      <c r="H88" s="52" t="s">
        <v>8</v>
      </c>
      <c r="I88" s="53"/>
      <c r="J88" s="53"/>
      <c r="K88" s="9" t="s">
        <v>7</v>
      </c>
      <c r="L88" s="54" t="str">
        <f>L48</f>
        <v>SEA</v>
      </c>
      <c r="M88" s="54"/>
      <c r="N88" s="54"/>
      <c r="O88" s="54"/>
      <c r="P88" s="55"/>
      <c r="R88" s="88"/>
      <c r="S88" s="88"/>
      <c r="T88" s="148"/>
      <c r="U88" s="26"/>
      <c r="V88" s="148"/>
    </row>
    <row r="89" spans="1:22" ht="17.45" customHeight="1" x14ac:dyDescent="0.3">
      <c r="A89" s="46"/>
      <c r="B89" s="47"/>
      <c r="C89" s="47"/>
      <c r="D89" s="47"/>
      <c r="E89" s="47"/>
      <c r="F89" s="48"/>
      <c r="G89" s="2"/>
      <c r="H89" s="56" t="s">
        <v>6</v>
      </c>
      <c r="I89" s="57"/>
      <c r="J89" s="57"/>
      <c r="K89" s="62" t="s">
        <v>7</v>
      </c>
      <c r="L89" s="65" t="str">
        <f>L49</f>
        <v>M/S. Kabir &amp; Co.
1104DT Road West Madarbari,
Chattogram, Bangladesh.</v>
      </c>
      <c r="M89" s="65"/>
      <c r="N89" s="65"/>
      <c r="O89" s="65"/>
      <c r="P89" s="66"/>
      <c r="R89" s="88"/>
      <c r="S89" s="88"/>
      <c r="T89" s="148"/>
      <c r="U89" s="26"/>
      <c r="V89" s="148"/>
    </row>
    <row r="90" spans="1:22" ht="18" thickBot="1" x14ac:dyDescent="0.35">
      <c r="A90" s="49"/>
      <c r="B90" s="50"/>
      <c r="C90" s="50"/>
      <c r="D90" s="50"/>
      <c r="E90" s="50"/>
      <c r="F90" s="51"/>
      <c r="G90" s="2"/>
      <c r="H90" s="58"/>
      <c r="I90" s="59"/>
      <c r="J90" s="59"/>
      <c r="K90" s="63"/>
      <c r="L90" s="67"/>
      <c r="M90" s="67"/>
      <c r="N90" s="67"/>
      <c r="O90" s="67"/>
      <c r="P90" s="68"/>
      <c r="R90" s="88"/>
      <c r="S90" s="88"/>
      <c r="T90" s="147"/>
      <c r="U90" s="26"/>
      <c r="V90" s="147"/>
    </row>
    <row r="91" spans="1:22" ht="18" customHeight="1" thickBot="1" x14ac:dyDescent="0.35">
      <c r="A91" s="42"/>
      <c r="B91" s="42"/>
      <c r="C91" s="1"/>
      <c r="D91" s="2"/>
      <c r="E91" s="2"/>
      <c r="F91" s="2"/>
      <c r="G91" s="2"/>
      <c r="H91" s="60"/>
      <c r="I91" s="61"/>
      <c r="J91" s="61"/>
      <c r="K91" s="64"/>
      <c r="L91" s="69"/>
      <c r="M91" s="69"/>
      <c r="N91" s="69"/>
      <c r="O91" s="69"/>
      <c r="P91" s="70"/>
      <c r="R91" s="88"/>
      <c r="S91" s="88"/>
      <c r="T91" s="147"/>
      <c r="U91" s="26"/>
      <c r="V91" s="148"/>
    </row>
    <row r="92" spans="1:22" ht="16.149999999999999" customHeight="1" x14ac:dyDescent="0.25">
      <c r="A92" s="103" t="s">
        <v>12</v>
      </c>
      <c r="B92" s="104"/>
      <c r="C92" s="105" t="s">
        <v>0</v>
      </c>
      <c r="D92" s="105"/>
      <c r="E92" s="105"/>
      <c r="F92" s="105"/>
      <c r="G92" s="105"/>
      <c r="H92" s="81" t="s">
        <v>1</v>
      </c>
      <c r="I92" s="82"/>
      <c r="J92" s="82"/>
      <c r="K92" s="82"/>
      <c r="L92" s="83"/>
      <c r="M92" s="84" t="s">
        <v>16</v>
      </c>
      <c r="N92" s="85"/>
      <c r="O92" s="86"/>
      <c r="P92" s="93" t="s">
        <v>3</v>
      </c>
      <c r="R92" s="88"/>
      <c r="S92" s="88"/>
      <c r="T92" s="147"/>
      <c r="U92" s="26"/>
      <c r="V92" s="148"/>
    </row>
    <row r="93" spans="1:22" ht="16.149999999999999" customHeight="1" x14ac:dyDescent="0.25">
      <c r="A93" s="3" t="s">
        <v>13</v>
      </c>
      <c r="B93" s="33">
        <f>B53</f>
        <v>1</v>
      </c>
      <c r="C93" s="96" t="str">
        <f>C53</f>
        <v>Delivery of Readymade Garments</v>
      </c>
      <c r="D93" s="96"/>
      <c r="E93" s="96"/>
      <c r="F93" s="96"/>
      <c r="G93" s="96"/>
      <c r="H93" s="97" t="s">
        <v>2</v>
      </c>
      <c r="I93" s="98"/>
      <c r="J93" s="99"/>
      <c r="K93" s="97" t="s">
        <v>15</v>
      </c>
      <c r="L93" s="99"/>
      <c r="M93" s="87"/>
      <c r="N93" s="88"/>
      <c r="O93" s="89"/>
      <c r="P93" s="94"/>
      <c r="R93" s="88"/>
      <c r="S93" s="88"/>
      <c r="T93" s="147"/>
      <c r="V93" s="147"/>
    </row>
    <row r="94" spans="1:22" ht="16.149999999999999" customHeight="1" thickBot="1" x14ac:dyDescent="0.3">
      <c r="A94" s="113" t="s">
        <v>11</v>
      </c>
      <c r="B94" s="114"/>
      <c r="C94" s="115" t="str">
        <f>C54</f>
        <v>H &amp; M</v>
      </c>
      <c r="D94" s="116"/>
      <c r="E94" s="117" t="s">
        <v>88</v>
      </c>
      <c r="F94" s="118"/>
      <c r="G94" s="114"/>
      <c r="H94" s="100"/>
      <c r="I94" s="101"/>
      <c r="J94" s="102"/>
      <c r="K94" s="100"/>
      <c r="L94" s="102"/>
      <c r="M94" s="90"/>
      <c r="N94" s="91"/>
      <c r="O94" s="92"/>
      <c r="P94" s="95"/>
      <c r="R94" s="88"/>
      <c r="S94" s="88"/>
      <c r="T94" s="147"/>
      <c r="V94" s="148"/>
    </row>
    <row r="95" spans="1:22" ht="25.15" customHeight="1" x14ac:dyDescent="0.25">
      <c r="A95" s="31">
        <f>A55</f>
        <v>0</v>
      </c>
      <c r="B95" s="119" t="str">
        <f>B55</f>
        <v>313888-5832</v>
      </c>
      <c r="C95" s="119"/>
      <c r="D95" s="119"/>
      <c r="E95" s="119"/>
      <c r="F95" s="119"/>
      <c r="G95" s="119"/>
      <c r="H95" s="120">
        <f>H55</f>
        <v>54</v>
      </c>
      <c r="I95" s="121"/>
      <c r="J95" s="122"/>
      <c r="K95" s="123">
        <f>K55</f>
        <v>4412</v>
      </c>
      <c r="L95" s="124"/>
      <c r="M95" s="106" t="str">
        <f>M55</f>
        <v>GB,PA</v>
      </c>
      <c r="N95" s="107"/>
      <c r="O95" s="108"/>
      <c r="P95" s="34">
        <f>P55</f>
        <v>0</v>
      </c>
      <c r="R95" s="88"/>
      <c r="S95" s="88"/>
      <c r="T95" s="147"/>
      <c r="V95" s="148"/>
    </row>
    <row r="96" spans="1:22" ht="25.15" customHeight="1" x14ac:dyDescent="0.25">
      <c r="A96" s="32">
        <f>A56</f>
        <v>0</v>
      </c>
      <c r="B96" s="109" t="str">
        <f>B56</f>
        <v>318457-5832</v>
      </c>
      <c r="C96" s="109"/>
      <c r="D96" s="109"/>
      <c r="E96" s="109"/>
      <c r="F96" s="109"/>
      <c r="G96" s="109"/>
      <c r="H96" s="110">
        <f>H56</f>
        <v>34</v>
      </c>
      <c r="I96" s="110"/>
      <c r="J96" s="110"/>
      <c r="K96" s="111">
        <f>K56</f>
        <v>3299</v>
      </c>
      <c r="L96" s="111"/>
      <c r="M96" s="112" t="str">
        <f>M56</f>
        <v>GB</v>
      </c>
      <c r="N96" s="112"/>
      <c r="O96" s="112"/>
      <c r="P96" s="35">
        <f>P56</f>
        <v>0</v>
      </c>
      <c r="R96" s="88"/>
      <c r="S96" s="88"/>
      <c r="T96" s="67"/>
      <c r="V96" s="147"/>
    </row>
    <row r="97" spans="1:22" ht="25.15" customHeight="1" x14ac:dyDescent="0.25">
      <c r="A97" s="32">
        <f t="shared" ref="A97:B112" si="6">A57</f>
        <v>0</v>
      </c>
      <c r="B97" s="109" t="str">
        <f t="shared" si="6"/>
        <v>317923-5833</v>
      </c>
      <c r="C97" s="109"/>
      <c r="D97" s="109"/>
      <c r="E97" s="109"/>
      <c r="F97" s="109"/>
      <c r="G97" s="109"/>
      <c r="H97" s="110">
        <f>H57</f>
        <v>65</v>
      </c>
      <c r="I97" s="110"/>
      <c r="J97" s="110"/>
      <c r="K97" s="111">
        <f>K57</f>
        <v>1601</v>
      </c>
      <c r="L97" s="111"/>
      <c r="M97" s="112" t="str">
        <f t="shared" ref="M97:M114" si="7">M57</f>
        <v>GB</v>
      </c>
      <c r="N97" s="112"/>
      <c r="O97" s="112"/>
      <c r="P97" s="35">
        <f t="shared" ref="P97:P114" si="8">P57</f>
        <v>0</v>
      </c>
      <c r="R97" s="88"/>
      <c r="S97" s="88"/>
      <c r="T97" s="67"/>
      <c r="V97" s="148"/>
    </row>
    <row r="98" spans="1:22" ht="25.15" customHeight="1" x14ac:dyDescent="0.25">
      <c r="A98" s="32">
        <f t="shared" si="6"/>
        <v>0</v>
      </c>
      <c r="B98" s="109" t="str">
        <f t="shared" si="6"/>
        <v>324414-5832</v>
      </c>
      <c r="C98" s="109"/>
      <c r="D98" s="109"/>
      <c r="E98" s="109"/>
      <c r="F98" s="109"/>
      <c r="G98" s="109"/>
      <c r="H98" s="110">
        <f t="shared" ref="H98:H114" si="9">H58</f>
        <v>1</v>
      </c>
      <c r="I98" s="110"/>
      <c r="J98" s="110"/>
      <c r="K98" s="111">
        <f t="shared" ref="K98:K114" si="10">K58</f>
        <v>26</v>
      </c>
      <c r="L98" s="111"/>
      <c r="M98" s="112" t="str">
        <f t="shared" si="7"/>
        <v>OL</v>
      </c>
      <c r="N98" s="112"/>
      <c r="O98" s="112"/>
      <c r="P98" s="35">
        <f t="shared" si="8"/>
        <v>0</v>
      </c>
      <c r="R98" s="88"/>
      <c r="S98" s="88"/>
      <c r="T98" s="67"/>
      <c r="V98" s="148"/>
    </row>
    <row r="99" spans="1:22" ht="25.15" customHeight="1" x14ac:dyDescent="0.25">
      <c r="A99" s="32">
        <f t="shared" si="6"/>
        <v>0</v>
      </c>
      <c r="B99" s="109" t="str">
        <f t="shared" si="6"/>
        <v>285443-5832</v>
      </c>
      <c r="C99" s="109"/>
      <c r="D99" s="109"/>
      <c r="E99" s="109"/>
      <c r="F99" s="109"/>
      <c r="G99" s="109"/>
      <c r="H99" s="110">
        <f t="shared" si="9"/>
        <v>6</v>
      </c>
      <c r="I99" s="110"/>
      <c r="J99" s="110"/>
      <c r="K99" s="111">
        <f t="shared" si="10"/>
        <v>244</v>
      </c>
      <c r="L99" s="111"/>
      <c r="M99" s="112" t="str">
        <f t="shared" si="7"/>
        <v>OB</v>
      </c>
      <c r="N99" s="112"/>
      <c r="O99" s="112"/>
      <c r="P99" s="35">
        <f t="shared" si="8"/>
        <v>0</v>
      </c>
      <c r="R99" s="88"/>
      <c r="S99" s="88"/>
      <c r="T99" s="67"/>
      <c r="V99" s="147"/>
    </row>
    <row r="100" spans="1:22" ht="25.15" customHeight="1" x14ac:dyDescent="0.25">
      <c r="A100" s="32">
        <f t="shared" si="6"/>
        <v>0</v>
      </c>
      <c r="B100" s="109" t="str">
        <f t="shared" si="6"/>
        <v>323654-5832</v>
      </c>
      <c r="C100" s="109"/>
      <c r="D100" s="109"/>
      <c r="E100" s="109"/>
      <c r="F100" s="109"/>
      <c r="G100" s="109"/>
      <c r="H100" s="110">
        <f t="shared" si="9"/>
        <v>20</v>
      </c>
      <c r="I100" s="110"/>
      <c r="J100" s="110"/>
      <c r="K100" s="111">
        <f t="shared" si="10"/>
        <v>1048</v>
      </c>
      <c r="L100" s="111"/>
      <c r="M100" s="112" t="str">
        <f t="shared" si="7"/>
        <v>OG</v>
      </c>
      <c r="N100" s="112"/>
      <c r="O100" s="112"/>
      <c r="P100" s="35">
        <f t="shared" si="8"/>
        <v>0</v>
      </c>
      <c r="R100" s="88"/>
      <c r="S100" s="88"/>
      <c r="T100" s="67"/>
      <c r="V100" s="148"/>
    </row>
    <row r="101" spans="1:22" ht="25.15" customHeight="1" x14ac:dyDescent="0.25">
      <c r="A101" s="32">
        <f t="shared" si="6"/>
        <v>0</v>
      </c>
      <c r="B101" s="109" t="str">
        <f t="shared" si="6"/>
        <v>318423-5832</v>
      </c>
      <c r="C101" s="109"/>
      <c r="D101" s="109"/>
      <c r="E101" s="109"/>
      <c r="F101" s="109"/>
      <c r="G101" s="109"/>
      <c r="H101" s="110">
        <f t="shared" si="9"/>
        <v>1</v>
      </c>
      <c r="I101" s="110"/>
      <c r="J101" s="110"/>
      <c r="K101" s="111">
        <f t="shared" si="10"/>
        <v>111</v>
      </c>
      <c r="L101" s="111"/>
      <c r="M101" s="112" t="str">
        <f t="shared" si="7"/>
        <v>GB</v>
      </c>
      <c r="N101" s="112"/>
      <c r="O101" s="112"/>
      <c r="P101" s="35">
        <f t="shared" si="8"/>
        <v>0</v>
      </c>
      <c r="R101" s="88"/>
      <c r="S101" s="88"/>
      <c r="T101" s="67"/>
      <c r="V101" s="148"/>
    </row>
    <row r="102" spans="1:22" ht="25.15" customHeight="1" x14ac:dyDescent="0.25">
      <c r="A102" s="32">
        <f t="shared" si="6"/>
        <v>0</v>
      </c>
      <c r="B102" s="109" t="str">
        <f t="shared" si="6"/>
        <v>302714-5832</v>
      </c>
      <c r="C102" s="109"/>
      <c r="D102" s="109"/>
      <c r="E102" s="109"/>
      <c r="F102" s="109"/>
      <c r="G102" s="109"/>
      <c r="H102" s="110">
        <f t="shared" si="9"/>
        <v>1</v>
      </c>
      <c r="I102" s="110"/>
      <c r="J102" s="110"/>
      <c r="K102" s="111">
        <f t="shared" si="10"/>
        <v>105</v>
      </c>
      <c r="L102" s="111"/>
      <c r="M102" s="112" t="str">
        <f t="shared" si="7"/>
        <v>OB</v>
      </c>
      <c r="N102" s="112"/>
      <c r="O102" s="112"/>
      <c r="P102" s="35">
        <f t="shared" si="8"/>
        <v>0</v>
      </c>
      <c r="R102" s="88"/>
      <c r="S102" s="88"/>
      <c r="T102" s="67"/>
    </row>
    <row r="103" spans="1:22" ht="25.15" customHeight="1" x14ac:dyDescent="0.25">
      <c r="A103" s="32">
        <f t="shared" si="6"/>
        <v>0</v>
      </c>
      <c r="B103" s="109" t="str">
        <f t="shared" si="6"/>
        <v>321792-7272</v>
      </c>
      <c r="C103" s="109"/>
      <c r="D103" s="109"/>
      <c r="E103" s="109"/>
      <c r="F103" s="109"/>
      <c r="G103" s="109"/>
      <c r="H103" s="110">
        <f t="shared" si="9"/>
        <v>7</v>
      </c>
      <c r="I103" s="110"/>
      <c r="J103" s="110"/>
      <c r="K103" s="111">
        <f t="shared" si="10"/>
        <v>333</v>
      </c>
      <c r="L103" s="111"/>
      <c r="M103" s="112" t="str">
        <f t="shared" si="7"/>
        <v>PA</v>
      </c>
      <c r="N103" s="112"/>
      <c r="O103" s="112"/>
      <c r="P103" s="35">
        <f t="shared" si="8"/>
        <v>0</v>
      </c>
      <c r="R103" s="88"/>
      <c r="S103" s="88"/>
      <c r="T103" s="67"/>
    </row>
    <row r="104" spans="1:22" ht="25.15" customHeight="1" x14ac:dyDescent="0.25">
      <c r="A104" s="32">
        <f t="shared" si="6"/>
        <v>0</v>
      </c>
      <c r="B104" s="109" t="str">
        <f t="shared" si="6"/>
        <v>320808-5833</v>
      </c>
      <c r="C104" s="109"/>
      <c r="D104" s="109"/>
      <c r="E104" s="109"/>
      <c r="F104" s="109"/>
      <c r="G104" s="109"/>
      <c r="H104" s="110">
        <f t="shared" si="9"/>
        <v>1</v>
      </c>
      <c r="I104" s="110"/>
      <c r="J104" s="110"/>
      <c r="K104" s="111">
        <f t="shared" si="10"/>
        <v>10</v>
      </c>
      <c r="L104" s="111"/>
      <c r="M104" s="112" t="str">
        <f t="shared" si="7"/>
        <v>PA</v>
      </c>
      <c r="N104" s="112"/>
      <c r="O104" s="112"/>
      <c r="P104" s="35">
        <f t="shared" si="8"/>
        <v>0</v>
      </c>
      <c r="R104" s="88"/>
      <c r="S104" s="88"/>
      <c r="T104" s="67"/>
    </row>
    <row r="105" spans="1:22" ht="25.15" customHeight="1" x14ac:dyDescent="0.25">
      <c r="A105" s="32">
        <f t="shared" si="6"/>
        <v>0</v>
      </c>
      <c r="B105" s="109" t="str">
        <f t="shared" si="6"/>
        <v>324425-5832</v>
      </c>
      <c r="C105" s="109"/>
      <c r="D105" s="109"/>
      <c r="E105" s="109"/>
      <c r="F105" s="109"/>
      <c r="G105" s="109"/>
      <c r="H105" s="110">
        <f t="shared" si="9"/>
        <v>2</v>
      </c>
      <c r="I105" s="110"/>
      <c r="J105" s="110"/>
      <c r="K105" s="111">
        <f t="shared" si="10"/>
        <v>139</v>
      </c>
      <c r="L105" s="111"/>
      <c r="M105" s="112" t="str">
        <f t="shared" si="7"/>
        <v>IX65</v>
      </c>
      <c r="N105" s="112"/>
      <c r="O105" s="112"/>
      <c r="P105" s="35">
        <f t="shared" si="8"/>
        <v>0</v>
      </c>
      <c r="R105" s="88"/>
      <c r="S105" s="88"/>
      <c r="T105" s="67"/>
    </row>
    <row r="106" spans="1:22" ht="25.15" customHeight="1" x14ac:dyDescent="0.25">
      <c r="A106" s="32">
        <f t="shared" si="6"/>
        <v>0</v>
      </c>
      <c r="B106" s="109" t="str">
        <f t="shared" si="6"/>
        <v>308831-5828</v>
      </c>
      <c r="C106" s="109"/>
      <c r="D106" s="109"/>
      <c r="E106" s="109"/>
      <c r="F106" s="109"/>
      <c r="G106" s="109"/>
      <c r="H106" s="110">
        <f t="shared" si="9"/>
        <v>1</v>
      </c>
      <c r="I106" s="110"/>
      <c r="J106" s="110"/>
      <c r="K106" s="111">
        <f t="shared" si="10"/>
        <v>19</v>
      </c>
      <c r="L106" s="111"/>
      <c r="M106" s="112" t="str">
        <f t="shared" si="7"/>
        <v>OG</v>
      </c>
      <c r="N106" s="112"/>
      <c r="O106" s="112"/>
      <c r="P106" s="35">
        <f t="shared" si="8"/>
        <v>0</v>
      </c>
      <c r="R106" s="88"/>
      <c r="S106" s="88"/>
      <c r="T106" s="67"/>
    </row>
    <row r="107" spans="1:22" ht="25.15" customHeight="1" x14ac:dyDescent="0.25">
      <c r="A107" s="32">
        <f t="shared" si="6"/>
        <v>0</v>
      </c>
      <c r="B107" s="109" t="str">
        <f t="shared" si="6"/>
        <v>304166-7272</v>
      </c>
      <c r="C107" s="109"/>
      <c r="D107" s="109"/>
      <c r="E107" s="109"/>
      <c r="F107" s="109"/>
      <c r="G107" s="109"/>
      <c r="H107" s="110">
        <f t="shared" si="9"/>
        <v>5</v>
      </c>
      <c r="I107" s="110"/>
      <c r="J107" s="110"/>
      <c r="K107" s="111">
        <f t="shared" si="10"/>
        <v>259</v>
      </c>
      <c r="L107" s="111"/>
      <c r="M107" s="112" t="str">
        <f t="shared" si="7"/>
        <v>OB</v>
      </c>
      <c r="N107" s="112"/>
      <c r="O107" s="112"/>
      <c r="P107" s="35">
        <f t="shared" si="8"/>
        <v>0</v>
      </c>
      <c r="R107" s="88"/>
      <c r="S107" s="88"/>
      <c r="T107" s="67"/>
    </row>
    <row r="108" spans="1:22" ht="25.15" customHeight="1" x14ac:dyDescent="0.25">
      <c r="A108" s="32">
        <f t="shared" si="6"/>
        <v>0</v>
      </c>
      <c r="B108" s="109" t="str">
        <f t="shared" si="6"/>
        <v>291911-5832</v>
      </c>
      <c r="C108" s="109"/>
      <c r="D108" s="109"/>
      <c r="E108" s="109"/>
      <c r="F108" s="109"/>
      <c r="G108" s="109"/>
      <c r="H108" s="110">
        <f t="shared" si="9"/>
        <v>10</v>
      </c>
      <c r="I108" s="110"/>
      <c r="J108" s="110"/>
      <c r="K108" s="111">
        <f t="shared" si="10"/>
        <v>1048</v>
      </c>
      <c r="L108" s="111"/>
      <c r="M108" s="112" t="str">
        <f t="shared" si="7"/>
        <v>PA</v>
      </c>
      <c r="N108" s="112"/>
      <c r="O108" s="112"/>
      <c r="P108" s="35">
        <f t="shared" si="8"/>
        <v>0</v>
      </c>
      <c r="R108" s="88"/>
      <c r="S108" s="88"/>
      <c r="T108" s="67"/>
    </row>
    <row r="109" spans="1:22" ht="25.15" customHeight="1" x14ac:dyDescent="0.25">
      <c r="A109" s="32">
        <f t="shared" si="6"/>
        <v>0</v>
      </c>
      <c r="B109" s="109" t="str">
        <f t="shared" si="6"/>
        <v>318421-5832</v>
      </c>
      <c r="C109" s="109"/>
      <c r="D109" s="109"/>
      <c r="E109" s="109"/>
      <c r="F109" s="109"/>
      <c r="G109" s="109"/>
      <c r="H109" s="110">
        <f t="shared" si="9"/>
        <v>1</v>
      </c>
      <c r="I109" s="110"/>
      <c r="J109" s="110"/>
      <c r="K109" s="111">
        <f t="shared" si="10"/>
        <v>33</v>
      </c>
      <c r="L109" s="111"/>
      <c r="M109" s="112" t="str">
        <f t="shared" si="7"/>
        <v>PA</v>
      </c>
      <c r="N109" s="112"/>
      <c r="O109" s="112"/>
      <c r="P109" s="35">
        <f t="shared" si="8"/>
        <v>0</v>
      </c>
      <c r="R109" s="88"/>
      <c r="S109" s="88"/>
      <c r="T109" s="67"/>
    </row>
    <row r="110" spans="1:22" ht="25.15" customHeight="1" x14ac:dyDescent="0.25">
      <c r="A110" s="32">
        <f t="shared" si="6"/>
        <v>0</v>
      </c>
      <c r="B110" s="109" t="str">
        <f t="shared" si="6"/>
        <v>302669-5832</v>
      </c>
      <c r="C110" s="109"/>
      <c r="D110" s="109"/>
      <c r="E110" s="109"/>
      <c r="F110" s="109"/>
      <c r="G110" s="109"/>
      <c r="H110" s="110">
        <f t="shared" si="9"/>
        <v>1</v>
      </c>
      <c r="I110" s="110"/>
      <c r="J110" s="110"/>
      <c r="K110" s="111">
        <f t="shared" si="10"/>
        <v>61</v>
      </c>
      <c r="L110" s="111"/>
      <c r="M110" s="112" t="str">
        <f t="shared" si="7"/>
        <v>OB</v>
      </c>
      <c r="N110" s="112"/>
      <c r="O110" s="112"/>
      <c r="P110" s="35">
        <f t="shared" si="8"/>
        <v>0</v>
      </c>
      <c r="R110" s="88"/>
      <c r="S110" s="88"/>
      <c r="T110" s="67"/>
    </row>
    <row r="111" spans="1:22" ht="25.15" customHeight="1" x14ac:dyDescent="0.25">
      <c r="A111" s="32">
        <f t="shared" si="6"/>
        <v>0</v>
      </c>
      <c r="B111" s="109" t="str">
        <f t="shared" si="6"/>
        <v>323686-5832</v>
      </c>
      <c r="C111" s="109"/>
      <c r="D111" s="109"/>
      <c r="E111" s="109"/>
      <c r="F111" s="109"/>
      <c r="G111" s="109"/>
      <c r="H111" s="110">
        <f t="shared" si="9"/>
        <v>2</v>
      </c>
      <c r="I111" s="110"/>
      <c r="J111" s="110"/>
      <c r="K111" s="111">
        <f t="shared" si="10"/>
        <v>117</v>
      </c>
      <c r="L111" s="111"/>
      <c r="M111" s="112" t="str">
        <f t="shared" si="7"/>
        <v>OG</v>
      </c>
      <c r="N111" s="112"/>
      <c r="O111" s="112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09">
        <f t="shared" si="6"/>
        <v>0</v>
      </c>
      <c r="C112" s="109"/>
      <c r="D112" s="109"/>
      <c r="E112" s="109"/>
      <c r="F112" s="109"/>
      <c r="G112" s="109"/>
      <c r="H112" s="110">
        <f t="shared" si="9"/>
        <v>0</v>
      </c>
      <c r="I112" s="110"/>
      <c r="J112" s="110"/>
      <c r="K112" s="111">
        <f t="shared" si="10"/>
        <v>0</v>
      </c>
      <c r="L112" s="111"/>
      <c r="M112" s="112">
        <f t="shared" si="7"/>
        <v>0</v>
      </c>
      <c r="N112" s="112"/>
      <c r="O112" s="112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09">
        <f t="shared" si="11"/>
        <v>0</v>
      </c>
      <c r="C113" s="109"/>
      <c r="D113" s="109"/>
      <c r="E113" s="109"/>
      <c r="F113" s="109"/>
      <c r="G113" s="109"/>
      <c r="H113" s="110">
        <f t="shared" si="9"/>
        <v>0</v>
      </c>
      <c r="I113" s="110"/>
      <c r="J113" s="110"/>
      <c r="K113" s="111">
        <f t="shared" si="10"/>
        <v>0</v>
      </c>
      <c r="L113" s="111"/>
      <c r="M113" s="112">
        <f t="shared" si="7"/>
        <v>0</v>
      </c>
      <c r="N113" s="112"/>
      <c r="O113" s="112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09">
        <f t="shared" si="11"/>
        <v>0</v>
      </c>
      <c r="C114" s="109"/>
      <c r="D114" s="109"/>
      <c r="E114" s="109"/>
      <c r="F114" s="109"/>
      <c r="G114" s="109"/>
      <c r="H114" s="110">
        <f t="shared" si="9"/>
        <v>0</v>
      </c>
      <c r="I114" s="110"/>
      <c r="J114" s="110"/>
      <c r="K114" s="111">
        <f t="shared" si="10"/>
        <v>0</v>
      </c>
      <c r="L114" s="111"/>
      <c r="M114" s="112">
        <f t="shared" si="7"/>
        <v>0</v>
      </c>
      <c r="N114" s="112"/>
      <c r="O114" s="112"/>
      <c r="P114" s="35">
        <f t="shared" si="8"/>
        <v>0</v>
      </c>
    </row>
    <row r="115" spans="1:22" ht="21.95" customHeight="1" thickBot="1" x14ac:dyDescent="0.3">
      <c r="A115" s="126" t="s">
        <v>17</v>
      </c>
      <c r="B115" s="127"/>
      <c r="C115" s="127"/>
      <c r="D115" s="127"/>
      <c r="E115" s="127"/>
      <c r="F115" s="127"/>
      <c r="G115" s="116"/>
      <c r="H115" s="128">
        <f>SUM(H95:J114)</f>
        <v>212</v>
      </c>
      <c r="I115" s="129"/>
      <c r="J115" s="130"/>
      <c r="K115" s="131">
        <f>SUM(K95:L114)</f>
        <v>12865</v>
      </c>
      <c r="L115" s="132"/>
      <c r="M115" s="133"/>
      <c r="N115" s="134"/>
      <c r="O115" s="135"/>
      <c r="P115" s="19"/>
    </row>
    <row r="117" spans="1:22" ht="31.9" customHeight="1" x14ac:dyDescent="0.25">
      <c r="A117" s="137" t="s">
        <v>22</v>
      </c>
      <c r="B117" s="138"/>
      <c r="C117" s="138"/>
      <c r="D117" s="139" t="str">
        <f>D77</f>
        <v>MD.OHEDULLA</v>
      </c>
      <c r="E117" s="139"/>
      <c r="F117" s="139"/>
      <c r="G117" s="138" t="s">
        <v>23</v>
      </c>
      <c r="H117" s="138"/>
      <c r="I117" s="138"/>
      <c r="J117" s="138"/>
      <c r="K117" s="138"/>
      <c r="L117" s="138"/>
      <c r="M117" s="140" t="str">
        <f>M77</f>
        <v>01875-171707</v>
      </c>
      <c r="N117" s="140"/>
      <c r="O117" s="140"/>
      <c r="P117" s="141"/>
    </row>
    <row r="118" spans="1:22" ht="31.9" customHeight="1" x14ac:dyDescent="0.25">
      <c r="A118" s="142" t="s">
        <v>24</v>
      </c>
      <c r="B118" s="143"/>
      <c r="C118" s="143"/>
      <c r="D118" s="144" t="str">
        <f>D78</f>
        <v>OOOO3</v>
      </c>
      <c r="E118" s="144"/>
      <c r="F118" s="144"/>
      <c r="G118" s="143" t="s">
        <v>25</v>
      </c>
      <c r="H118" s="143"/>
      <c r="I118" s="143"/>
      <c r="J118" s="143"/>
      <c r="K118" s="143"/>
      <c r="L118" s="143"/>
      <c r="M118" s="145" t="str">
        <f>M78</f>
        <v>D.M.TA 13-0867</v>
      </c>
      <c r="N118" s="145"/>
      <c r="O118" s="145"/>
      <c r="P118" s="146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36" t="s">
        <v>18</v>
      </c>
      <c r="B120" s="136"/>
      <c r="C120" s="136"/>
      <c r="D120" s="4"/>
      <c r="E120" s="4"/>
      <c r="F120" s="136" t="s">
        <v>19</v>
      </c>
      <c r="G120" s="136"/>
      <c r="H120" s="36"/>
      <c r="I120" s="36"/>
      <c r="J120" s="36"/>
      <c r="K120" s="4"/>
      <c r="L120" s="136" t="s">
        <v>20</v>
      </c>
      <c r="M120" s="136"/>
      <c r="N120" s="136"/>
      <c r="O120" s="136"/>
      <c r="P120" s="136"/>
    </row>
    <row r="121" spans="1:22" ht="8.25" customHeight="1" x14ac:dyDescent="0.25"/>
    <row r="122" spans="1:22" ht="36.75" customHeight="1" x14ac:dyDescent="0.25">
      <c r="A122" s="37"/>
      <c r="B122" s="37"/>
      <c r="C122" s="37"/>
      <c r="D122" s="38" t="s">
        <v>27</v>
      </c>
      <c r="E122" s="38"/>
      <c r="F122" s="38"/>
      <c r="G122" s="38"/>
      <c r="H122" s="38"/>
      <c r="I122" s="38"/>
      <c r="J122" s="38"/>
      <c r="K122" s="38"/>
      <c r="L122" s="38"/>
      <c r="M122" s="39" t="str">
        <f>M82</f>
        <v>FORM STR 03
REVISION NO 01</v>
      </c>
      <c r="N122" s="39"/>
      <c r="O122" s="39"/>
      <c r="P122" s="39"/>
      <c r="Q122" s="10"/>
    </row>
    <row r="123" spans="1:22" ht="22.15" customHeight="1" x14ac:dyDescent="0.25">
      <c r="A123" s="37"/>
      <c r="B123" s="37"/>
      <c r="C123" s="37"/>
      <c r="D123" s="38"/>
      <c r="E123" s="38"/>
      <c r="F123" s="38"/>
      <c r="G123" s="38"/>
      <c r="H123" s="38"/>
      <c r="I123" s="38"/>
      <c r="J123" s="38"/>
      <c r="K123" s="38"/>
      <c r="L123" s="38"/>
      <c r="M123" s="39"/>
      <c r="N123" s="39"/>
      <c r="O123" s="39"/>
      <c r="P123" s="39"/>
      <c r="Q123" s="10"/>
    </row>
    <row r="124" spans="1:22" ht="17.45" customHeight="1" x14ac:dyDescent="0.25">
      <c r="A124" s="40"/>
      <c r="B124" s="40"/>
      <c r="C124" s="40"/>
      <c r="D124" s="41" t="s">
        <v>21</v>
      </c>
      <c r="E124" s="41"/>
      <c r="F124" s="41"/>
      <c r="G124" s="41"/>
      <c r="H124" s="41"/>
      <c r="I124" s="41"/>
      <c r="J124" s="41"/>
      <c r="K124" s="41"/>
      <c r="L124" s="41"/>
      <c r="M124" s="11"/>
    </row>
    <row r="125" spans="1:22" ht="22.15" customHeight="1" thickBot="1" x14ac:dyDescent="0.35">
      <c r="A125" s="42"/>
      <c r="B125" s="42"/>
      <c r="C125" s="1"/>
      <c r="D125" s="43" t="s">
        <v>92</v>
      </c>
      <c r="E125" s="43"/>
      <c r="F125" s="43"/>
      <c r="G125" s="43"/>
      <c r="H125" s="43"/>
      <c r="I125" s="43"/>
      <c r="J125" s="43"/>
      <c r="K125" s="43"/>
      <c r="L125" s="43"/>
      <c r="M125" s="2"/>
      <c r="N125" s="37"/>
      <c r="O125" s="37"/>
      <c r="P125" s="37"/>
    </row>
    <row r="126" spans="1:22" ht="15.6" customHeight="1" thickBot="1" x14ac:dyDescent="0.35">
      <c r="A126" s="71" t="s">
        <v>9</v>
      </c>
      <c r="B126" s="72"/>
      <c r="C126" s="73" t="str">
        <f>C86</f>
        <v>O545</v>
      </c>
      <c r="D126" s="73"/>
      <c r="E126" s="73"/>
      <c r="F126" s="74"/>
      <c r="G126" s="2"/>
      <c r="H126" s="75" t="s">
        <v>4</v>
      </c>
      <c r="I126" s="76"/>
      <c r="J126" s="76"/>
      <c r="K126" s="8" t="s">
        <v>7</v>
      </c>
      <c r="L126" s="77" t="str">
        <f>L86</f>
        <v>JP 523803</v>
      </c>
      <c r="M126" s="77"/>
      <c r="N126" s="77"/>
      <c r="O126" s="77"/>
      <c r="P126" s="78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52" t="s">
        <v>5</v>
      </c>
      <c r="I127" s="53"/>
      <c r="J127" s="53"/>
      <c r="K127" s="9" t="s">
        <v>7</v>
      </c>
      <c r="L127" s="79">
        <f ca="1">L87</f>
        <v>45689.589567129631</v>
      </c>
      <c r="M127" s="79"/>
      <c r="N127" s="79"/>
      <c r="O127" s="79"/>
      <c r="P127" s="80"/>
      <c r="R127" s="88"/>
      <c r="S127" s="88"/>
      <c r="T127" s="147"/>
      <c r="U127" s="26"/>
      <c r="V127" s="147"/>
    </row>
    <row r="128" spans="1:22" ht="18" customHeight="1" x14ac:dyDescent="0.3">
      <c r="A128" s="46" t="str">
        <f>A88</f>
        <v>Vertex Off-Dock Logistics Services Ltd.
1443/1509, Old Airport Road, Katghar, North Patenga,
Chattogram 4204, Bangladesh.</v>
      </c>
      <c r="B128" s="47"/>
      <c r="C128" s="47"/>
      <c r="D128" s="47"/>
      <c r="E128" s="47"/>
      <c r="F128" s="48"/>
      <c r="G128" s="2"/>
      <c r="H128" s="52" t="s">
        <v>8</v>
      </c>
      <c r="I128" s="53"/>
      <c r="J128" s="53"/>
      <c r="K128" s="9" t="s">
        <v>7</v>
      </c>
      <c r="L128" s="54" t="str">
        <f>L88</f>
        <v>SEA</v>
      </c>
      <c r="M128" s="54"/>
      <c r="N128" s="54"/>
      <c r="O128" s="54"/>
      <c r="P128" s="55"/>
      <c r="R128" s="88"/>
      <c r="S128" s="88"/>
      <c r="T128" s="148"/>
      <c r="U128" s="26"/>
      <c r="V128" s="148"/>
    </row>
    <row r="129" spans="1:22" ht="17.25" x14ac:dyDescent="0.3">
      <c r="A129" s="46"/>
      <c r="B129" s="47"/>
      <c r="C129" s="47"/>
      <c r="D129" s="47"/>
      <c r="E129" s="47"/>
      <c r="F129" s="48"/>
      <c r="G129" s="2"/>
      <c r="H129" s="56" t="s">
        <v>6</v>
      </c>
      <c r="I129" s="57"/>
      <c r="J129" s="57"/>
      <c r="K129" s="62" t="s">
        <v>7</v>
      </c>
      <c r="L129" s="65" t="str">
        <f>L89</f>
        <v>M/S. Kabir &amp; Co.
1104DT Road West Madarbari,
Chattogram, Bangladesh.</v>
      </c>
      <c r="M129" s="65"/>
      <c r="N129" s="65"/>
      <c r="O129" s="65"/>
      <c r="P129" s="66"/>
      <c r="R129" s="88"/>
      <c r="S129" s="88"/>
      <c r="T129" s="148"/>
      <c r="U129" s="26"/>
      <c r="V129" s="148"/>
    </row>
    <row r="130" spans="1:22" ht="18" thickBot="1" x14ac:dyDescent="0.35">
      <c r="A130" s="49"/>
      <c r="B130" s="50"/>
      <c r="C130" s="50"/>
      <c r="D130" s="50"/>
      <c r="E130" s="50"/>
      <c r="F130" s="51"/>
      <c r="G130" s="2"/>
      <c r="H130" s="58"/>
      <c r="I130" s="59"/>
      <c r="J130" s="59"/>
      <c r="K130" s="63"/>
      <c r="L130" s="67"/>
      <c r="M130" s="67"/>
      <c r="N130" s="67"/>
      <c r="O130" s="67"/>
      <c r="P130" s="68"/>
      <c r="R130" s="88"/>
      <c r="S130" s="88"/>
      <c r="T130" s="147"/>
      <c r="U130" s="26"/>
      <c r="V130" s="147"/>
    </row>
    <row r="131" spans="1:22" ht="18" customHeight="1" thickBot="1" x14ac:dyDescent="0.35">
      <c r="A131" s="42"/>
      <c r="B131" s="42"/>
      <c r="C131" s="1"/>
      <c r="D131" s="2"/>
      <c r="E131" s="2"/>
      <c r="F131" s="2"/>
      <c r="G131" s="2"/>
      <c r="H131" s="60"/>
      <c r="I131" s="61"/>
      <c r="J131" s="61"/>
      <c r="K131" s="64"/>
      <c r="L131" s="69"/>
      <c r="M131" s="69"/>
      <c r="N131" s="69"/>
      <c r="O131" s="69"/>
      <c r="P131" s="70"/>
      <c r="R131" s="88"/>
      <c r="S131" s="88"/>
      <c r="T131" s="147"/>
      <c r="U131" s="26"/>
      <c r="V131" s="148"/>
    </row>
    <row r="132" spans="1:22" ht="16.149999999999999" customHeight="1" x14ac:dyDescent="0.25">
      <c r="A132" s="103" t="s">
        <v>12</v>
      </c>
      <c r="B132" s="104"/>
      <c r="C132" s="105" t="s">
        <v>0</v>
      </c>
      <c r="D132" s="105"/>
      <c r="E132" s="105"/>
      <c r="F132" s="105"/>
      <c r="G132" s="105"/>
      <c r="H132" s="81" t="s">
        <v>1</v>
      </c>
      <c r="I132" s="82"/>
      <c r="J132" s="82"/>
      <c r="K132" s="82"/>
      <c r="L132" s="83"/>
      <c r="M132" s="84" t="s">
        <v>16</v>
      </c>
      <c r="N132" s="85"/>
      <c r="O132" s="86"/>
      <c r="P132" s="149" t="s">
        <v>3</v>
      </c>
      <c r="R132" s="88"/>
      <c r="S132" s="88"/>
      <c r="T132" s="147"/>
      <c r="U132" s="26"/>
      <c r="V132" s="148"/>
    </row>
    <row r="133" spans="1:22" ht="16.149999999999999" customHeight="1" x14ac:dyDescent="0.25">
      <c r="A133" s="3" t="s">
        <v>13</v>
      </c>
      <c r="B133" s="33">
        <f>B93</f>
        <v>1</v>
      </c>
      <c r="C133" s="96" t="str">
        <f>C93</f>
        <v>Delivery of Readymade Garments</v>
      </c>
      <c r="D133" s="96"/>
      <c r="E133" s="96"/>
      <c r="F133" s="96"/>
      <c r="G133" s="96"/>
      <c r="H133" s="165" t="s">
        <v>2</v>
      </c>
      <c r="I133" s="166"/>
      <c r="J133" s="167"/>
      <c r="K133" s="165" t="s">
        <v>15</v>
      </c>
      <c r="L133" s="167"/>
      <c r="M133" s="87"/>
      <c r="N133" s="88"/>
      <c r="O133" s="89"/>
      <c r="P133" s="150"/>
      <c r="R133" s="88"/>
      <c r="S133" s="88"/>
      <c r="T133" s="147"/>
      <c r="V133" s="147"/>
    </row>
    <row r="134" spans="1:22" ht="16.149999999999999" customHeight="1" thickBot="1" x14ac:dyDescent="0.3">
      <c r="A134" s="113" t="s">
        <v>11</v>
      </c>
      <c r="B134" s="114"/>
      <c r="C134" s="115" t="str">
        <f>C94</f>
        <v>H &amp; M</v>
      </c>
      <c r="D134" s="116"/>
      <c r="E134" s="117" t="s">
        <v>88</v>
      </c>
      <c r="F134" s="118"/>
      <c r="G134" s="114"/>
      <c r="H134" s="100"/>
      <c r="I134" s="101"/>
      <c r="J134" s="102"/>
      <c r="K134" s="100"/>
      <c r="L134" s="102"/>
      <c r="M134" s="90"/>
      <c r="N134" s="91"/>
      <c r="O134" s="92"/>
      <c r="P134" s="151"/>
      <c r="R134" s="88"/>
      <c r="S134" s="88"/>
      <c r="T134" s="147"/>
      <c r="V134" s="148"/>
    </row>
    <row r="135" spans="1:22" ht="25.15" customHeight="1" x14ac:dyDescent="0.25">
      <c r="A135" s="31">
        <f>A95</f>
        <v>0</v>
      </c>
      <c r="B135" s="119" t="str">
        <f>B95</f>
        <v>313888-5832</v>
      </c>
      <c r="C135" s="119"/>
      <c r="D135" s="119"/>
      <c r="E135" s="119"/>
      <c r="F135" s="119"/>
      <c r="G135" s="119"/>
      <c r="H135" s="160">
        <f>H95</f>
        <v>54</v>
      </c>
      <c r="I135" s="161"/>
      <c r="J135" s="162"/>
      <c r="K135" s="163">
        <f>K95</f>
        <v>4412</v>
      </c>
      <c r="L135" s="164"/>
      <c r="M135" s="106" t="str">
        <f>M95</f>
        <v>GB,PA</v>
      </c>
      <c r="N135" s="107"/>
      <c r="O135" s="108"/>
      <c r="P135" s="34">
        <f>P95</f>
        <v>0</v>
      </c>
      <c r="R135" s="88"/>
      <c r="S135" s="88"/>
      <c r="T135" s="147"/>
      <c r="V135" s="148"/>
    </row>
    <row r="136" spans="1:22" ht="25.15" customHeight="1" x14ac:dyDescent="0.25">
      <c r="A136" s="32">
        <f>A96</f>
        <v>0</v>
      </c>
      <c r="B136" s="109" t="str">
        <f>B96</f>
        <v>318457-5832</v>
      </c>
      <c r="C136" s="109"/>
      <c r="D136" s="109"/>
      <c r="E136" s="109"/>
      <c r="F136" s="109"/>
      <c r="G136" s="109"/>
      <c r="H136" s="152">
        <f>H96</f>
        <v>34</v>
      </c>
      <c r="I136" s="153"/>
      <c r="J136" s="154"/>
      <c r="K136" s="155">
        <f>K96</f>
        <v>3299</v>
      </c>
      <c r="L136" s="156"/>
      <c r="M136" s="157" t="str">
        <f>M96</f>
        <v>GB</v>
      </c>
      <c r="N136" s="158"/>
      <c r="O136" s="159"/>
      <c r="P136" s="35">
        <f>P96</f>
        <v>0</v>
      </c>
      <c r="R136" s="88"/>
      <c r="S136" s="88"/>
      <c r="T136" s="67"/>
      <c r="V136" s="147"/>
    </row>
    <row r="137" spans="1:22" ht="25.15" customHeight="1" x14ac:dyDescent="0.25">
      <c r="A137" s="32">
        <f t="shared" ref="A137:B152" si="12">A97</f>
        <v>0</v>
      </c>
      <c r="B137" s="109" t="str">
        <f t="shared" si="12"/>
        <v>317923-5833</v>
      </c>
      <c r="C137" s="109"/>
      <c r="D137" s="109"/>
      <c r="E137" s="109"/>
      <c r="F137" s="109"/>
      <c r="G137" s="109"/>
      <c r="H137" s="152">
        <f>H97</f>
        <v>65</v>
      </c>
      <c r="I137" s="153"/>
      <c r="J137" s="154"/>
      <c r="K137" s="155">
        <f>K97</f>
        <v>1601</v>
      </c>
      <c r="L137" s="156"/>
      <c r="M137" s="157" t="str">
        <f t="shared" ref="M137:M154" si="13">M97</f>
        <v>GB</v>
      </c>
      <c r="N137" s="158"/>
      <c r="O137" s="159"/>
      <c r="P137" s="35">
        <f t="shared" ref="P137:P154" si="14">P97</f>
        <v>0</v>
      </c>
      <c r="R137" s="88"/>
      <c r="S137" s="88"/>
      <c r="T137" s="67"/>
      <c r="V137" s="148"/>
    </row>
    <row r="138" spans="1:22" ht="25.15" customHeight="1" x14ac:dyDescent="0.25">
      <c r="A138" s="32">
        <f t="shared" si="12"/>
        <v>0</v>
      </c>
      <c r="B138" s="109" t="str">
        <f t="shared" si="12"/>
        <v>324414-5832</v>
      </c>
      <c r="C138" s="109"/>
      <c r="D138" s="109"/>
      <c r="E138" s="109"/>
      <c r="F138" s="109"/>
      <c r="G138" s="109"/>
      <c r="H138" s="152">
        <f t="shared" ref="H138:H154" si="15">H98</f>
        <v>1</v>
      </c>
      <c r="I138" s="153"/>
      <c r="J138" s="154"/>
      <c r="K138" s="155">
        <f t="shared" ref="K138:K154" si="16">K98</f>
        <v>26</v>
      </c>
      <c r="L138" s="156"/>
      <c r="M138" s="157" t="str">
        <f t="shared" si="13"/>
        <v>OL</v>
      </c>
      <c r="N138" s="158"/>
      <c r="O138" s="159"/>
      <c r="P138" s="35">
        <f t="shared" si="14"/>
        <v>0</v>
      </c>
      <c r="R138" s="88"/>
      <c r="S138" s="88"/>
      <c r="T138" s="67"/>
      <c r="V138" s="148"/>
    </row>
    <row r="139" spans="1:22" ht="25.15" customHeight="1" x14ac:dyDescent="0.25">
      <c r="A139" s="32">
        <f t="shared" si="12"/>
        <v>0</v>
      </c>
      <c r="B139" s="109" t="str">
        <f t="shared" si="12"/>
        <v>285443-5832</v>
      </c>
      <c r="C139" s="109"/>
      <c r="D139" s="109"/>
      <c r="E139" s="109"/>
      <c r="F139" s="109"/>
      <c r="G139" s="109"/>
      <c r="H139" s="152">
        <f t="shared" si="15"/>
        <v>6</v>
      </c>
      <c r="I139" s="153"/>
      <c r="J139" s="154"/>
      <c r="K139" s="155">
        <f t="shared" si="16"/>
        <v>244</v>
      </c>
      <c r="L139" s="156"/>
      <c r="M139" s="157" t="str">
        <f t="shared" si="13"/>
        <v>OB</v>
      </c>
      <c r="N139" s="158"/>
      <c r="O139" s="159"/>
      <c r="P139" s="35">
        <f t="shared" si="14"/>
        <v>0</v>
      </c>
      <c r="R139" s="88"/>
      <c r="S139" s="88"/>
      <c r="T139" s="67"/>
      <c r="V139" s="147"/>
    </row>
    <row r="140" spans="1:22" ht="25.15" customHeight="1" x14ac:dyDescent="0.25">
      <c r="A140" s="32">
        <f t="shared" si="12"/>
        <v>0</v>
      </c>
      <c r="B140" s="109" t="str">
        <f t="shared" si="12"/>
        <v>323654-5832</v>
      </c>
      <c r="C140" s="109"/>
      <c r="D140" s="109"/>
      <c r="E140" s="109"/>
      <c r="F140" s="109"/>
      <c r="G140" s="109"/>
      <c r="H140" s="152">
        <f t="shared" si="15"/>
        <v>20</v>
      </c>
      <c r="I140" s="153"/>
      <c r="J140" s="154"/>
      <c r="K140" s="155">
        <f t="shared" si="16"/>
        <v>1048</v>
      </c>
      <c r="L140" s="156"/>
      <c r="M140" s="157" t="str">
        <f t="shared" si="13"/>
        <v>OG</v>
      </c>
      <c r="N140" s="158"/>
      <c r="O140" s="159"/>
      <c r="P140" s="35">
        <f t="shared" si="14"/>
        <v>0</v>
      </c>
      <c r="R140" s="88"/>
      <c r="S140" s="88"/>
      <c r="T140" s="67"/>
      <c r="V140" s="148"/>
    </row>
    <row r="141" spans="1:22" ht="25.15" customHeight="1" x14ac:dyDescent="0.25">
      <c r="A141" s="32">
        <f t="shared" si="12"/>
        <v>0</v>
      </c>
      <c r="B141" s="109" t="str">
        <f t="shared" si="12"/>
        <v>318423-5832</v>
      </c>
      <c r="C141" s="109"/>
      <c r="D141" s="109"/>
      <c r="E141" s="109"/>
      <c r="F141" s="109"/>
      <c r="G141" s="109"/>
      <c r="H141" s="152">
        <f t="shared" si="15"/>
        <v>1</v>
      </c>
      <c r="I141" s="153"/>
      <c r="J141" s="154"/>
      <c r="K141" s="155">
        <f t="shared" si="16"/>
        <v>111</v>
      </c>
      <c r="L141" s="156"/>
      <c r="M141" s="157" t="str">
        <f t="shared" si="13"/>
        <v>GB</v>
      </c>
      <c r="N141" s="158"/>
      <c r="O141" s="159"/>
      <c r="P141" s="35">
        <f t="shared" si="14"/>
        <v>0</v>
      </c>
      <c r="R141" s="88"/>
      <c r="S141" s="88"/>
      <c r="T141" s="67"/>
      <c r="V141" s="148"/>
    </row>
    <row r="142" spans="1:22" ht="25.15" customHeight="1" x14ac:dyDescent="0.25">
      <c r="A142" s="32">
        <f t="shared" si="12"/>
        <v>0</v>
      </c>
      <c r="B142" s="109" t="str">
        <f t="shared" si="12"/>
        <v>302714-5832</v>
      </c>
      <c r="C142" s="109"/>
      <c r="D142" s="109"/>
      <c r="E142" s="109"/>
      <c r="F142" s="109"/>
      <c r="G142" s="109"/>
      <c r="H142" s="152">
        <f t="shared" si="15"/>
        <v>1</v>
      </c>
      <c r="I142" s="153"/>
      <c r="J142" s="154"/>
      <c r="K142" s="155">
        <f t="shared" si="16"/>
        <v>105</v>
      </c>
      <c r="L142" s="156"/>
      <c r="M142" s="157" t="str">
        <f t="shared" si="13"/>
        <v>OB</v>
      </c>
      <c r="N142" s="158"/>
      <c r="O142" s="159"/>
      <c r="P142" s="35">
        <f t="shared" si="14"/>
        <v>0</v>
      </c>
      <c r="R142" s="88"/>
      <c r="S142" s="88"/>
      <c r="T142" s="67"/>
    </row>
    <row r="143" spans="1:22" ht="25.15" customHeight="1" x14ac:dyDescent="0.25">
      <c r="A143" s="32">
        <f t="shared" si="12"/>
        <v>0</v>
      </c>
      <c r="B143" s="109" t="str">
        <f t="shared" si="12"/>
        <v>321792-7272</v>
      </c>
      <c r="C143" s="109"/>
      <c r="D143" s="109"/>
      <c r="E143" s="109"/>
      <c r="F143" s="109"/>
      <c r="G143" s="109"/>
      <c r="H143" s="152">
        <f t="shared" si="15"/>
        <v>7</v>
      </c>
      <c r="I143" s="153"/>
      <c r="J143" s="154"/>
      <c r="K143" s="155">
        <f t="shared" si="16"/>
        <v>333</v>
      </c>
      <c r="L143" s="156"/>
      <c r="M143" s="157" t="str">
        <f t="shared" si="13"/>
        <v>PA</v>
      </c>
      <c r="N143" s="158"/>
      <c r="O143" s="159"/>
      <c r="P143" s="35">
        <f t="shared" si="14"/>
        <v>0</v>
      </c>
      <c r="R143" s="88"/>
      <c r="S143" s="88"/>
      <c r="T143" s="67"/>
    </row>
    <row r="144" spans="1:22" ht="25.15" customHeight="1" x14ac:dyDescent="0.25">
      <c r="A144" s="32">
        <f t="shared" si="12"/>
        <v>0</v>
      </c>
      <c r="B144" s="109" t="str">
        <f t="shared" si="12"/>
        <v>320808-5833</v>
      </c>
      <c r="C144" s="109"/>
      <c r="D144" s="109"/>
      <c r="E144" s="109"/>
      <c r="F144" s="109"/>
      <c r="G144" s="109"/>
      <c r="H144" s="152">
        <f t="shared" si="15"/>
        <v>1</v>
      </c>
      <c r="I144" s="153"/>
      <c r="J144" s="154"/>
      <c r="K144" s="155">
        <f t="shared" si="16"/>
        <v>10</v>
      </c>
      <c r="L144" s="156"/>
      <c r="M144" s="157" t="str">
        <f t="shared" si="13"/>
        <v>PA</v>
      </c>
      <c r="N144" s="158"/>
      <c r="O144" s="159"/>
      <c r="P144" s="35">
        <f t="shared" si="14"/>
        <v>0</v>
      </c>
      <c r="R144" s="88"/>
      <c r="S144" s="88"/>
      <c r="T144" s="67"/>
    </row>
    <row r="145" spans="1:20" ht="25.15" customHeight="1" x14ac:dyDescent="0.25">
      <c r="A145" s="32">
        <f t="shared" si="12"/>
        <v>0</v>
      </c>
      <c r="B145" s="109" t="str">
        <f t="shared" si="12"/>
        <v>324425-5832</v>
      </c>
      <c r="C145" s="109"/>
      <c r="D145" s="109"/>
      <c r="E145" s="109"/>
      <c r="F145" s="109"/>
      <c r="G145" s="109"/>
      <c r="H145" s="152">
        <f t="shared" si="15"/>
        <v>2</v>
      </c>
      <c r="I145" s="153"/>
      <c r="J145" s="154"/>
      <c r="K145" s="155">
        <f t="shared" si="16"/>
        <v>139</v>
      </c>
      <c r="L145" s="156"/>
      <c r="M145" s="157" t="str">
        <f t="shared" si="13"/>
        <v>IX65</v>
      </c>
      <c r="N145" s="158"/>
      <c r="O145" s="159"/>
      <c r="P145" s="35">
        <f t="shared" si="14"/>
        <v>0</v>
      </c>
      <c r="R145" s="88"/>
      <c r="S145" s="88"/>
      <c r="T145" s="67"/>
    </row>
    <row r="146" spans="1:20" ht="25.15" customHeight="1" x14ac:dyDescent="0.25">
      <c r="A146" s="32">
        <f t="shared" si="12"/>
        <v>0</v>
      </c>
      <c r="B146" s="109" t="str">
        <f t="shared" si="12"/>
        <v>308831-5828</v>
      </c>
      <c r="C146" s="109"/>
      <c r="D146" s="109"/>
      <c r="E146" s="109"/>
      <c r="F146" s="109"/>
      <c r="G146" s="109"/>
      <c r="H146" s="152">
        <f t="shared" si="15"/>
        <v>1</v>
      </c>
      <c r="I146" s="153"/>
      <c r="J146" s="154"/>
      <c r="K146" s="155">
        <f t="shared" si="16"/>
        <v>19</v>
      </c>
      <c r="L146" s="156"/>
      <c r="M146" s="157" t="str">
        <f t="shared" si="13"/>
        <v>OG</v>
      </c>
      <c r="N146" s="158"/>
      <c r="O146" s="159"/>
      <c r="P146" s="35">
        <f t="shared" si="14"/>
        <v>0</v>
      </c>
      <c r="R146" s="88"/>
      <c r="S146" s="88"/>
      <c r="T146" s="67"/>
    </row>
    <row r="147" spans="1:20" ht="25.15" customHeight="1" x14ac:dyDescent="0.25">
      <c r="A147" s="32">
        <f t="shared" si="12"/>
        <v>0</v>
      </c>
      <c r="B147" s="109" t="str">
        <f t="shared" si="12"/>
        <v>304166-7272</v>
      </c>
      <c r="C147" s="109"/>
      <c r="D147" s="109"/>
      <c r="E147" s="109"/>
      <c r="F147" s="109"/>
      <c r="G147" s="109"/>
      <c r="H147" s="152">
        <f t="shared" si="15"/>
        <v>5</v>
      </c>
      <c r="I147" s="153"/>
      <c r="J147" s="154"/>
      <c r="K147" s="155">
        <f t="shared" si="16"/>
        <v>259</v>
      </c>
      <c r="L147" s="156"/>
      <c r="M147" s="157" t="str">
        <f t="shared" si="13"/>
        <v>OB</v>
      </c>
      <c r="N147" s="158"/>
      <c r="O147" s="159"/>
      <c r="P147" s="35">
        <f t="shared" si="14"/>
        <v>0</v>
      </c>
      <c r="R147" s="88"/>
      <c r="S147" s="88"/>
      <c r="T147" s="67"/>
    </row>
    <row r="148" spans="1:20" ht="25.15" customHeight="1" x14ac:dyDescent="0.25">
      <c r="A148" s="32">
        <f t="shared" si="12"/>
        <v>0</v>
      </c>
      <c r="B148" s="109" t="str">
        <f t="shared" si="12"/>
        <v>291911-5832</v>
      </c>
      <c r="C148" s="109"/>
      <c r="D148" s="109"/>
      <c r="E148" s="109"/>
      <c r="F148" s="109"/>
      <c r="G148" s="109"/>
      <c r="H148" s="152">
        <f t="shared" si="15"/>
        <v>10</v>
      </c>
      <c r="I148" s="153"/>
      <c r="J148" s="154"/>
      <c r="K148" s="155">
        <f t="shared" si="16"/>
        <v>1048</v>
      </c>
      <c r="L148" s="156"/>
      <c r="M148" s="157" t="str">
        <f t="shared" si="13"/>
        <v>PA</v>
      </c>
      <c r="N148" s="158"/>
      <c r="O148" s="159"/>
      <c r="P148" s="35">
        <f t="shared" si="14"/>
        <v>0</v>
      </c>
      <c r="R148" s="88"/>
      <c r="S148" s="88"/>
      <c r="T148" s="67"/>
    </row>
    <row r="149" spans="1:20" ht="25.15" customHeight="1" x14ac:dyDescent="0.25">
      <c r="A149" s="32">
        <f t="shared" si="12"/>
        <v>0</v>
      </c>
      <c r="B149" s="109" t="str">
        <f t="shared" si="12"/>
        <v>318421-5832</v>
      </c>
      <c r="C149" s="109"/>
      <c r="D149" s="109"/>
      <c r="E149" s="109"/>
      <c r="F149" s="109"/>
      <c r="G149" s="109"/>
      <c r="H149" s="152">
        <f t="shared" si="15"/>
        <v>1</v>
      </c>
      <c r="I149" s="153"/>
      <c r="J149" s="154"/>
      <c r="K149" s="155">
        <f t="shared" si="16"/>
        <v>33</v>
      </c>
      <c r="L149" s="156"/>
      <c r="M149" s="157" t="str">
        <f t="shared" si="13"/>
        <v>PA</v>
      </c>
      <c r="N149" s="158"/>
      <c r="O149" s="159"/>
      <c r="P149" s="35">
        <f t="shared" si="14"/>
        <v>0</v>
      </c>
      <c r="R149" s="88"/>
      <c r="S149" s="88"/>
      <c r="T149" s="67"/>
    </row>
    <row r="150" spans="1:20" ht="25.15" customHeight="1" x14ac:dyDescent="0.25">
      <c r="A150" s="32">
        <f t="shared" si="12"/>
        <v>0</v>
      </c>
      <c r="B150" s="109" t="str">
        <f t="shared" si="12"/>
        <v>302669-5832</v>
      </c>
      <c r="C150" s="109"/>
      <c r="D150" s="109"/>
      <c r="E150" s="109"/>
      <c r="F150" s="109"/>
      <c r="G150" s="109"/>
      <c r="H150" s="152">
        <f t="shared" si="15"/>
        <v>1</v>
      </c>
      <c r="I150" s="153"/>
      <c r="J150" s="154"/>
      <c r="K150" s="155">
        <f t="shared" si="16"/>
        <v>61</v>
      </c>
      <c r="L150" s="156"/>
      <c r="M150" s="157" t="str">
        <f t="shared" si="13"/>
        <v>OB</v>
      </c>
      <c r="N150" s="158"/>
      <c r="O150" s="159"/>
      <c r="P150" s="35">
        <f t="shared" si="14"/>
        <v>0</v>
      </c>
      <c r="R150" s="88"/>
      <c r="S150" s="88"/>
      <c r="T150" s="67"/>
    </row>
    <row r="151" spans="1:20" ht="25.15" customHeight="1" x14ac:dyDescent="0.25">
      <c r="A151" s="32">
        <f t="shared" si="12"/>
        <v>0</v>
      </c>
      <c r="B151" s="109" t="str">
        <f t="shared" si="12"/>
        <v>323686-5832</v>
      </c>
      <c r="C151" s="109"/>
      <c r="D151" s="109"/>
      <c r="E151" s="109"/>
      <c r="F151" s="109"/>
      <c r="G151" s="109"/>
      <c r="H151" s="152">
        <f t="shared" si="15"/>
        <v>2</v>
      </c>
      <c r="I151" s="153"/>
      <c r="J151" s="154"/>
      <c r="K151" s="155">
        <f t="shared" si="16"/>
        <v>117</v>
      </c>
      <c r="L151" s="156"/>
      <c r="M151" s="157" t="str">
        <f t="shared" si="13"/>
        <v>OG</v>
      </c>
      <c r="N151" s="158"/>
      <c r="O151" s="159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09">
        <f t="shared" si="12"/>
        <v>0</v>
      </c>
      <c r="C152" s="109"/>
      <c r="D152" s="109"/>
      <c r="E152" s="109"/>
      <c r="F152" s="109"/>
      <c r="G152" s="109"/>
      <c r="H152" s="152">
        <f t="shared" si="15"/>
        <v>0</v>
      </c>
      <c r="I152" s="153"/>
      <c r="J152" s="154"/>
      <c r="K152" s="155">
        <f t="shared" si="16"/>
        <v>0</v>
      </c>
      <c r="L152" s="156"/>
      <c r="M152" s="157">
        <f t="shared" si="13"/>
        <v>0</v>
      </c>
      <c r="N152" s="158"/>
      <c r="O152" s="159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09">
        <f t="shared" si="17"/>
        <v>0</v>
      </c>
      <c r="C153" s="109"/>
      <c r="D153" s="109"/>
      <c r="E153" s="109"/>
      <c r="F153" s="109"/>
      <c r="G153" s="109"/>
      <c r="H153" s="152">
        <f t="shared" si="15"/>
        <v>0</v>
      </c>
      <c r="I153" s="153"/>
      <c r="J153" s="154"/>
      <c r="K153" s="155">
        <f t="shared" si="16"/>
        <v>0</v>
      </c>
      <c r="L153" s="156"/>
      <c r="M153" s="157">
        <f t="shared" si="13"/>
        <v>0</v>
      </c>
      <c r="N153" s="158"/>
      <c r="O153" s="159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09">
        <f t="shared" si="17"/>
        <v>0</v>
      </c>
      <c r="C154" s="109"/>
      <c r="D154" s="109"/>
      <c r="E154" s="109"/>
      <c r="F154" s="109"/>
      <c r="G154" s="109"/>
      <c r="H154" s="152">
        <f t="shared" si="15"/>
        <v>0</v>
      </c>
      <c r="I154" s="153"/>
      <c r="J154" s="154"/>
      <c r="K154" s="155">
        <f t="shared" si="16"/>
        <v>0</v>
      </c>
      <c r="L154" s="156"/>
      <c r="M154" s="157">
        <f t="shared" si="13"/>
        <v>0</v>
      </c>
      <c r="N154" s="158"/>
      <c r="O154" s="159"/>
      <c r="P154" s="35">
        <f t="shared" si="14"/>
        <v>0</v>
      </c>
    </row>
    <row r="155" spans="1:20" ht="21.95" customHeight="1" thickBot="1" x14ac:dyDescent="0.3">
      <c r="A155" s="126" t="s">
        <v>17</v>
      </c>
      <c r="B155" s="127"/>
      <c r="C155" s="127"/>
      <c r="D155" s="127"/>
      <c r="E155" s="127"/>
      <c r="F155" s="127"/>
      <c r="G155" s="116"/>
      <c r="H155" s="128">
        <f>SUM(H135:J154)</f>
        <v>212</v>
      </c>
      <c r="I155" s="168"/>
      <c r="J155" s="169"/>
      <c r="K155" s="131">
        <f>SUM(K135:L154)</f>
        <v>12865</v>
      </c>
      <c r="L155" s="132"/>
      <c r="M155" s="133"/>
      <c r="N155" s="134"/>
      <c r="O155" s="135"/>
      <c r="P155" s="19"/>
    </row>
    <row r="157" spans="1:20" ht="31.9" customHeight="1" x14ac:dyDescent="0.25">
      <c r="A157" s="137" t="s">
        <v>22</v>
      </c>
      <c r="B157" s="138"/>
      <c r="C157" s="138"/>
      <c r="D157" s="139" t="str">
        <f>D117</f>
        <v>MD.OHEDULLA</v>
      </c>
      <c r="E157" s="139"/>
      <c r="F157" s="139"/>
      <c r="G157" s="138" t="s">
        <v>23</v>
      </c>
      <c r="H157" s="138"/>
      <c r="I157" s="138"/>
      <c r="J157" s="138"/>
      <c r="K157" s="138"/>
      <c r="L157" s="138"/>
      <c r="M157" s="140" t="str">
        <f>M117</f>
        <v>01875-171707</v>
      </c>
      <c r="N157" s="140"/>
      <c r="O157" s="140"/>
      <c r="P157" s="141"/>
    </row>
    <row r="158" spans="1:20" ht="31.9" customHeight="1" x14ac:dyDescent="0.25">
      <c r="A158" s="142" t="s">
        <v>24</v>
      </c>
      <c r="B158" s="143"/>
      <c r="C158" s="143"/>
      <c r="D158" s="144" t="str">
        <f>D118</f>
        <v>OOOO3</v>
      </c>
      <c r="E158" s="144"/>
      <c r="F158" s="144"/>
      <c r="G158" s="143" t="s">
        <v>25</v>
      </c>
      <c r="H158" s="143"/>
      <c r="I158" s="143"/>
      <c r="J158" s="143"/>
      <c r="K158" s="143"/>
      <c r="L158" s="143"/>
      <c r="M158" s="145" t="str">
        <f>M118</f>
        <v>D.M.TA 13-0867</v>
      </c>
      <c r="N158" s="145"/>
      <c r="O158" s="145"/>
      <c r="P158" s="146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36" t="s">
        <v>18</v>
      </c>
      <c r="B160" s="136"/>
      <c r="C160" s="136"/>
      <c r="D160" s="4"/>
      <c r="E160" s="4"/>
      <c r="F160" s="136" t="s">
        <v>19</v>
      </c>
      <c r="G160" s="136"/>
      <c r="H160" s="36"/>
      <c r="I160" s="36"/>
      <c r="J160" s="36"/>
      <c r="K160" s="4"/>
      <c r="L160" s="136" t="s">
        <v>20</v>
      </c>
      <c r="M160" s="136"/>
      <c r="N160" s="136"/>
      <c r="O160" s="136"/>
      <c r="P160" s="136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26:G26"/>
    <mergeCell ref="H26:J26"/>
    <mergeCell ref="K26:L26"/>
    <mergeCell ref="M26:O26"/>
    <mergeCell ref="B27:G27"/>
    <mergeCell ref="H27:J27"/>
    <mergeCell ref="K27:L27"/>
    <mergeCell ref="M27:O27"/>
    <mergeCell ref="B24:G24"/>
    <mergeCell ref="H24:J24"/>
    <mergeCell ref="K24:L24"/>
    <mergeCell ref="M24:O24"/>
    <mergeCell ref="B25:G25"/>
    <mergeCell ref="H25:J25"/>
    <mergeCell ref="K25:L25"/>
    <mergeCell ref="M25:O25"/>
    <mergeCell ref="V16:V18"/>
    <mergeCell ref="B17:G17"/>
    <mergeCell ref="H17:J17"/>
    <mergeCell ref="K17:L17"/>
    <mergeCell ref="M17:O17"/>
    <mergeCell ref="B18:G18"/>
    <mergeCell ref="B23:G23"/>
    <mergeCell ref="H23:J23"/>
    <mergeCell ref="K23:L23"/>
    <mergeCell ref="M23:O23"/>
    <mergeCell ref="V19:V21"/>
    <mergeCell ref="B20:G20"/>
    <mergeCell ref="H20:J20"/>
    <mergeCell ref="K20:L20"/>
    <mergeCell ref="M20:O20"/>
    <mergeCell ref="B21:G21"/>
    <mergeCell ref="H21:J21"/>
    <mergeCell ref="K21:L21"/>
    <mergeCell ref="M21:O21"/>
    <mergeCell ref="B19:G19"/>
    <mergeCell ref="H19:J19"/>
    <mergeCell ref="K19:L19"/>
    <mergeCell ref="M19:O19"/>
    <mergeCell ref="M15:O15"/>
    <mergeCell ref="H18:J18"/>
    <mergeCell ref="K18:L18"/>
    <mergeCell ref="M18:O18"/>
    <mergeCell ref="B16:G16"/>
    <mergeCell ref="H16:J16"/>
    <mergeCell ref="K16:L16"/>
    <mergeCell ref="M16:O16"/>
    <mergeCell ref="B22:G22"/>
    <mergeCell ref="H22:J22"/>
    <mergeCell ref="K22:L22"/>
    <mergeCell ref="M22:O22"/>
    <mergeCell ref="C12:G12"/>
    <mergeCell ref="H12:L12"/>
    <mergeCell ref="M12:O14"/>
    <mergeCell ref="P12:P14"/>
    <mergeCell ref="C13:G13"/>
    <mergeCell ref="H13:J14"/>
    <mergeCell ref="K13:L14"/>
    <mergeCell ref="V7:V9"/>
    <mergeCell ref="A8:F10"/>
    <mergeCell ref="H8:J8"/>
    <mergeCell ref="L8:P8"/>
    <mergeCell ref="H9:J11"/>
    <mergeCell ref="K9:K11"/>
    <mergeCell ref="L9:P11"/>
    <mergeCell ref="V10:V12"/>
    <mergeCell ref="A11:B11"/>
    <mergeCell ref="A12:B12"/>
    <mergeCell ref="V13:V15"/>
    <mergeCell ref="A14:B14"/>
    <mergeCell ref="C14:D14"/>
    <mergeCell ref="E14:G14"/>
    <mergeCell ref="B15:G15"/>
    <mergeCell ref="H15:J15"/>
    <mergeCell ref="K15:L15"/>
    <mergeCell ref="A6:B6"/>
    <mergeCell ref="C6:F6"/>
    <mergeCell ref="H6:J6"/>
    <mergeCell ref="L6:P6"/>
    <mergeCell ref="H7:J7"/>
    <mergeCell ref="L7:P7"/>
    <mergeCell ref="A2:C3"/>
    <mergeCell ref="D2:L3"/>
    <mergeCell ref="M2:P3"/>
    <mergeCell ref="A4:C4"/>
    <mergeCell ref="D4:L4"/>
    <mergeCell ref="A5:B5"/>
    <mergeCell ref="D5:L5"/>
    <mergeCell ref="N5:P5"/>
  </mergeCells>
  <dataValidations count="4">
    <dataValidation type="list" allowBlank="1" showInputMessage="1" showErrorMessage="1" sqref="C14:D14 C94:D94 C54:D54 C134:D134" xr:uid="{6328B99C-180D-47FA-BE68-0A84C0E0AF5A}">
      <formula1>$W$7:$W$161</formula1>
    </dataValidation>
    <dataValidation type="list" allowBlank="1" showInputMessage="1" showErrorMessage="1" sqref="L9:P11 L49:P51 L89:P91 L129:P131" xr:uid="{8DEC465D-B571-4BBE-B2AC-350FF9EBD9D7}">
      <formula1>Carrier</formula1>
    </dataValidation>
    <dataValidation type="list" allowBlank="1" showInputMessage="1" showErrorMessage="1" sqref="A8 A48 A88 A128" xr:uid="{BAC82E9B-7923-478C-A806-2207D9BF2671}">
      <formula1>$T$7:$T$35</formula1>
    </dataValidation>
    <dataValidation type="list" allowBlank="1" showInputMessage="1" showErrorMessage="1" sqref="L8:P8 L48:P48 L88:P88 L128:P128" xr:uid="{0778B44D-5B61-4BAF-8C44-56994ED0C718}">
      <formula1>Mode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125B-6275-48EA-BE8C-59218E02C94F}">
  <sheetPr>
    <tabColor rgb="FF00B050"/>
  </sheetPr>
  <dimension ref="A1:Y168"/>
  <sheetViews>
    <sheetView view="pageBreakPreview" topLeftCell="A7" zoomScaleNormal="100" zoomScaleSheetLayoutView="100" workbookViewId="0">
      <selection activeCell="M25" sqref="M25:O25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37"/>
      <c r="B2" s="37"/>
      <c r="C2" s="37"/>
      <c r="D2" s="38" t="s">
        <v>27</v>
      </c>
      <c r="E2" s="38"/>
      <c r="F2" s="38"/>
      <c r="G2" s="38"/>
      <c r="H2" s="38"/>
      <c r="I2" s="38"/>
      <c r="J2" s="38"/>
      <c r="K2" s="38"/>
      <c r="L2" s="38"/>
      <c r="M2" s="39" t="s">
        <v>26</v>
      </c>
      <c r="N2" s="39"/>
      <c r="O2" s="39"/>
      <c r="P2" s="39"/>
      <c r="Q2" s="10"/>
    </row>
    <row r="3" spans="1:25" ht="22.15" customHeight="1" x14ac:dyDescent="0.25">
      <c r="A3" s="37"/>
      <c r="B3" s="37"/>
      <c r="C3" s="37"/>
      <c r="D3" s="38"/>
      <c r="E3" s="38"/>
      <c r="F3" s="38"/>
      <c r="G3" s="38"/>
      <c r="H3" s="38"/>
      <c r="I3" s="38"/>
      <c r="J3" s="38"/>
      <c r="K3" s="38"/>
      <c r="L3" s="38"/>
      <c r="M3" s="39"/>
      <c r="N3" s="39"/>
      <c r="O3" s="39"/>
      <c r="P3" s="39"/>
      <c r="Q3" s="10"/>
    </row>
    <row r="4" spans="1:25" ht="17.45" customHeight="1" x14ac:dyDescent="0.25">
      <c r="A4" s="40"/>
      <c r="B4" s="40"/>
      <c r="C4" s="40"/>
      <c r="D4" s="41" t="s">
        <v>21</v>
      </c>
      <c r="E4" s="41"/>
      <c r="F4" s="41"/>
      <c r="G4" s="41"/>
      <c r="H4" s="41"/>
      <c r="I4" s="41"/>
      <c r="J4" s="41"/>
      <c r="K4" s="41"/>
      <c r="L4" s="41"/>
      <c r="M4" s="11"/>
    </row>
    <row r="5" spans="1:25" ht="22.15" customHeight="1" thickBot="1" x14ac:dyDescent="0.35">
      <c r="A5" s="42"/>
      <c r="B5" s="42"/>
      <c r="C5" s="1"/>
      <c r="D5" s="43" t="s">
        <v>89</v>
      </c>
      <c r="E5" s="43"/>
      <c r="F5" s="43"/>
      <c r="G5" s="43"/>
      <c r="H5" s="43"/>
      <c r="I5" s="43"/>
      <c r="J5" s="43"/>
      <c r="K5" s="43"/>
      <c r="L5" s="43"/>
      <c r="M5" s="2"/>
      <c r="N5" s="37"/>
      <c r="O5" s="37"/>
      <c r="P5" s="37"/>
    </row>
    <row r="6" spans="1:25" ht="15.6" customHeight="1" thickBot="1" x14ac:dyDescent="0.35">
      <c r="A6" s="71" t="s">
        <v>9</v>
      </c>
      <c r="B6" s="72"/>
      <c r="C6" s="73" t="s">
        <v>121</v>
      </c>
      <c r="D6" s="73"/>
      <c r="E6" s="73"/>
      <c r="F6" s="74"/>
      <c r="G6" s="2"/>
      <c r="H6" s="75" t="s">
        <v>4</v>
      </c>
      <c r="I6" s="76"/>
      <c r="J6" s="76"/>
      <c r="K6" s="8" t="s">
        <v>7</v>
      </c>
      <c r="L6" s="77" t="s">
        <v>295</v>
      </c>
      <c r="M6" s="77"/>
      <c r="N6" s="77"/>
      <c r="O6" s="77"/>
      <c r="P6" s="78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52" t="s">
        <v>5</v>
      </c>
      <c r="I7" s="53"/>
      <c r="J7" s="53"/>
      <c r="K7" s="9" t="s">
        <v>7</v>
      </c>
      <c r="L7" s="79">
        <v>45687</v>
      </c>
      <c r="M7" s="79"/>
      <c r="N7" s="79"/>
      <c r="O7" s="79"/>
      <c r="P7" s="80"/>
      <c r="R7" s="28">
        <v>1</v>
      </c>
      <c r="S7" s="28" t="s">
        <v>39</v>
      </c>
      <c r="T7" s="29" t="s">
        <v>33</v>
      </c>
      <c r="U7" s="17" t="s">
        <v>29</v>
      </c>
      <c r="V7" s="44" t="s">
        <v>47</v>
      </c>
      <c r="W7" t="s">
        <v>54</v>
      </c>
    </row>
    <row r="8" spans="1:25" ht="18" customHeight="1" x14ac:dyDescent="0.3">
      <c r="A8" s="46" t="s">
        <v>252</v>
      </c>
      <c r="B8" s="47"/>
      <c r="C8" s="47"/>
      <c r="D8" s="47"/>
      <c r="E8" s="47"/>
      <c r="F8" s="48"/>
      <c r="G8" s="2"/>
      <c r="H8" s="52" t="s">
        <v>8</v>
      </c>
      <c r="I8" s="53"/>
      <c r="J8" s="53"/>
      <c r="K8" s="9" t="s">
        <v>7</v>
      </c>
      <c r="L8" s="54" t="s">
        <v>29</v>
      </c>
      <c r="M8" s="54"/>
      <c r="N8" s="54"/>
      <c r="O8" s="54"/>
      <c r="P8" s="55"/>
      <c r="R8" s="28">
        <v>2</v>
      </c>
      <c r="S8" s="28" t="s">
        <v>40</v>
      </c>
      <c r="T8" s="29" t="s">
        <v>99</v>
      </c>
      <c r="U8" s="17" t="s">
        <v>30</v>
      </c>
      <c r="V8" s="45"/>
      <c r="W8" t="s">
        <v>55</v>
      </c>
    </row>
    <row r="9" spans="1:25" ht="17.45" customHeight="1" x14ac:dyDescent="0.3">
      <c r="A9" s="46"/>
      <c r="B9" s="47"/>
      <c r="C9" s="47"/>
      <c r="D9" s="47"/>
      <c r="E9" s="47"/>
      <c r="F9" s="48"/>
      <c r="G9" s="2"/>
      <c r="H9" s="56" t="s">
        <v>6</v>
      </c>
      <c r="I9" s="57"/>
      <c r="J9" s="57"/>
      <c r="K9" s="62" t="s">
        <v>7</v>
      </c>
      <c r="L9" s="65" t="s">
        <v>52</v>
      </c>
      <c r="M9" s="65"/>
      <c r="N9" s="65"/>
      <c r="O9" s="65"/>
      <c r="P9" s="66"/>
      <c r="R9" s="28">
        <v>3</v>
      </c>
      <c r="S9" s="28" t="s">
        <v>41</v>
      </c>
      <c r="T9" s="29" t="s">
        <v>100</v>
      </c>
      <c r="U9" s="17" t="s">
        <v>31</v>
      </c>
      <c r="V9" s="45"/>
      <c r="W9" t="s">
        <v>56</v>
      </c>
    </row>
    <row r="10" spans="1:25" ht="18" customHeight="1" thickBot="1" x14ac:dyDescent="0.35">
      <c r="A10" s="49"/>
      <c r="B10" s="50"/>
      <c r="C10" s="50"/>
      <c r="D10" s="50"/>
      <c r="E10" s="50"/>
      <c r="F10" s="51"/>
      <c r="G10" s="2"/>
      <c r="H10" s="58"/>
      <c r="I10" s="59"/>
      <c r="J10" s="59"/>
      <c r="K10" s="63"/>
      <c r="L10" s="67"/>
      <c r="M10" s="67"/>
      <c r="N10" s="67"/>
      <c r="O10" s="67"/>
      <c r="P10" s="68"/>
      <c r="R10" s="28">
        <v>4</v>
      </c>
      <c r="S10" s="28" t="s">
        <v>42</v>
      </c>
      <c r="T10" s="30" t="s">
        <v>34</v>
      </c>
      <c r="U10" s="17"/>
      <c r="V10" s="44" t="s">
        <v>48</v>
      </c>
      <c r="W10" t="s">
        <v>57</v>
      </c>
    </row>
    <row r="11" spans="1:25" ht="18" customHeight="1" thickBot="1" x14ac:dyDescent="0.35">
      <c r="A11" s="42"/>
      <c r="B11" s="42"/>
      <c r="C11" s="1"/>
      <c r="D11" s="2"/>
      <c r="E11" s="2"/>
      <c r="F11" s="2"/>
      <c r="G11" s="2"/>
      <c r="H11" s="60"/>
      <c r="I11" s="61"/>
      <c r="J11" s="61"/>
      <c r="K11" s="64"/>
      <c r="L11" s="69"/>
      <c r="M11" s="69"/>
      <c r="N11" s="69"/>
      <c r="O11" s="69"/>
      <c r="P11" s="70"/>
      <c r="R11" s="28">
        <v>5</v>
      </c>
      <c r="S11" s="28" t="s">
        <v>43</v>
      </c>
      <c r="T11" s="30" t="s">
        <v>35</v>
      </c>
      <c r="U11" s="17"/>
      <c r="V11" s="45"/>
      <c r="W11" t="s">
        <v>58</v>
      </c>
    </row>
    <row r="12" spans="1:25" ht="16.149999999999999" customHeight="1" x14ac:dyDescent="0.25">
      <c r="A12" s="103" t="s">
        <v>12</v>
      </c>
      <c r="B12" s="104"/>
      <c r="C12" s="105" t="s">
        <v>0</v>
      </c>
      <c r="D12" s="105"/>
      <c r="E12" s="105"/>
      <c r="F12" s="105"/>
      <c r="G12" s="105"/>
      <c r="H12" s="81" t="s">
        <v>1</v>
      </c>
      <c r="I12" s="82"/>
      <c r="J12" s="82"/>
      <c r="K12" s="82"/>
      <c r="L12" s="83"/>
      <c r="M12" s="84" t="s">
        <v>16</v>
      </c>
      <c r="N12" s="85"/>
      <c r="O12" s="86"/>
      <c r="P12" s="93" t="s">
        <v>3</v>
      </c>
      <c r="R12" s="28">
        <v>6</v>
      </c>
      <c r="S12" s="28" t="s">
        <v>44</v>
      </c>
      <c r="T12" s="30" t="s">
        <v>36</v>
      </c>
      <c r="U12" s="17"/>
      <c r="V12" s="45"/>
      <c r="W12" t="s">
        <v>67</v>
      </c>
    </row>
    <row r="13" spans="1:25" ht="16.149999999999999" customHeight="1" x14ac:dyDescent="0.25">
      <c r="A13" s="3" t="s">
        <v>13</v>
      </c>
      <c r="B13" s="33">
        <v>1</v>
      </c>
      <c r="C13" s="96" t="s">
        <v>14</v>
      </c>
      <c r="D13" s="96"/>
      <c r="E13" s="96"/>
      <c r="F13" s="96"/>
      <c r="G13" s="96"/>
      <c r="H13" s="97" t="s">
        <v>2</v>
      </c>
      <c r="I13" s="98"/>
      <c r="J13" s="99"/>
      <c r="K13" s="97" t="s">
        <v>15</v>
      </c>
      <c r="L13" s="99"/>
      <c r="M13" s="87"/>
      <c r="N13" s="88"/>
      <c r="O13" s="89"/>
      <c r="P13" s="94"/>
      <c r="R13" s="28">
        <v>7</v>
      </c>
      <c r="S13" s="28" t="s">
        <v>45</v>
      </c>
      <c r="T13" s="30" t="s">
        <v>37</v>
      </c>
      <c r="U13" s="12"/>
      <c r="V13" s="44" t="s">
        <v>49</v>
      </c>
      <c r="W13" t="s">
        <v>59</v>
      </c>
    </row>
    <row r="14" spans="1:25" ht="16.149999999999999" customHeight="1" thickBot="1" x14ac:dyDescent="0.3">
      <c r="A14" s="113" t="s">
        <v>11</v>
      </c>
      <c r="B14" s="114"/>
      <c r="C14" s="115" t="s">
        <v>66</v>
      </c>
      <c r="D14" s="116"/>
      <c r="E14" s="117" t="s">
        <v>88</v>
      </c>
      <c r="F14" s="118"/>
      <c r="G14" s="114"/>
      <c r="H14" s="100"/>
      <c r="I14" s="101"/>
      <c r="J14" s="102"/>
      <c r="K14" s="100"/>
      <c r="L14" s="102"/>
      <c r="M14" s="90"/>
      <c r="N14" s="91"/>
      <c r="O14" s="92"/>
      <c r="P14" s="95"/>
      <c r="R14" s="28">
        <v>8</v>
      </c>
      <c r="S14" s="28" t="s">
        <v>46</v>
      </c>
      <c r="T14" s="30" t="s">
        <v>38</v>
      </c>
      <c r="U14" s="12"/>
      <c r="V14" s="45"/>
      <c r="W14" t="s">
        <v>60</v>
      </c>
    </row>
    <row r="15" spans="1:25" ht="25.15" customHeight="1" x14ac:dyDescent="0.25">
      <c r="A15" s="31"/>
      <c r="B15" s="119" t="s">
        <v>253</v>
      </c>
      <c r="C15" s="119"/>
      <c r="D15" s="119"/>
      <c r="E15" s="119"/>
      <c r="F15" s="119"/>
      <c r="G15" s="119"/>
      <c r="H15" s="120">
        <v>1</v>
      </c>
      <c r="I15" s="121"/>
      <c r="J15" s="122"/>
      <c r="K15" s="123">
        <v>67</v>
      </c>
      <c r="L15" s="124"/>
      <c r="M15" s="106" t="s">
        <v>254</v>
      </c>
      <c r="N15" s="107"/>
      <c r="O15" s="108"/>
      <c r="P15" s="34"/>
      <c r="R15" s="28">
        <v>9</v>
      </c>
      <c r="S15" s="28" t="s">
        <v>96</v>
      </c>
      <c r="T15" s="30" t="s">
        <v>93</v>
      </c>
      <c r="U15" s="12"/>
      <c r="V15" s="45"/>
      <c r="W15" t="s">
        <v>61</v>
      </c>
    </row>
    <row r="16" spans="1:25" ht="25.15" customHeight="1" x14ac:dyDescent="0.25">
      <c r="A16" s="32"/>
      <c r="B16" s="109" t="s">
        <v>255</v>
      </c>
      <c r="C16" s="109"/>
      <c r="D16" s="109"/>
      <c r="E16" s="109"/>
      <c r="F16" s="109"/>
      <c r="G16" s="109"/>
      <c r="H16" s="110">
        <v>3</v>
      </c>
      <c r="I16" s="110"/>
      <c r="J16" s="110"/>
      <c r="K16" s="111">
        <v>117</v>
      </c>
      <c r="L16" s="111"/>
      <c r="M16" s="112" t="s">
        <v>254</v>
      </c>
      <c r="N16" s="112"/>
      <c r="O16" s="112"/>
      <c r="P16" s="35"/>
      <c r="R16" s="28">
        <v>10</v>
      </c>
      <c r="S16" s="28" t="s">
        <v>98</v>
      </c>
      <c r="T16" s="30" t="s">
        <v>94</v>
      </c>
      <c r="U16" s="12"/>
      <c r="V16" s="44" t="s">
        <v>50</v>
      </c>
      <c r="W16" t="s">
        <v>62</v>
      </c>
    </row>
    <row r="17" spans="1:23" ht="25.15" customHeight="1" x14ac:dyDescent="0.25">
      <c r="A17" s="32"/>
      <c r="B17" s="109" t="s">
        <v>256</v>
      </c>
      <c r="C17" s="109"/>
      <c r="D17" s="109"/>
      <c r="E17" s="109"/>
      <c r="F17" s="109"/>
      <c r="G17" s="109"/>
      <c r="H17" s="110">
        <v>1</v>
      </c>
      <c r="I17" s="110"/>
      <c r="J17" s="110"/>
      <c r="K17" s="111">
        <v>44</v>
      </c>
      <c r="L17" s="111"/>
      <c r="M17" s="112" t="s">
        <v>254</v>
      </c>
      <c r="N17" s="112"/>
      <c r="O17" s="112"/>
      <c r="P17" s="35"/>
      <c r="R17" s="28">
        <v>11</v>
      </c>
      <c r="S17" s="28" t="s">
        <v>97</v>
      </c>
      <c r="T17" s="30" t="s">
        <v>95</v>
      </c>
      <c r="U17" s="12"/>
      <c r="V17" s="45"/>
      <c r="W17" t="s">
        <v>63</v>
      </c>
    </row>
    <row r="18" spans="1:23" ht="25.15" customHeight="1" x14ac:dyDescent="0.25">
      <c r="A18" s="32"/>
      <c r="B18" s="109" t="s">
        <v>257</v>
      </c>
      <c r="C18" s="109"/>
      <c r="D18" s="109"/>
      <c r="E18" s="109"/>
      <c r="F18" s="109"/>
      <c r="G18" s="109"/>
      <c r="H18" s="110">
        <v>1</v>
      </c>
      <c r="I18" s="110"/>
      <c r="J18" s="110"/>
      <c r="K18" s="111">
        <v>51</v>
      </c>
      <c r="L18" s="111"/>
      <c r="M18" s="112" t="s">
        <v>254</v>
      </c>
      <c r="N18" s="112"/>
      <c r="O18" s="112"/>
      <c r="P18" s="35"/>
      <c r="R18" s="28">
        <v>12</v>
      </c>
      <c r="S18" s="28" t="s">
        <v>101</v>
      </c>
      <c r="T18" s="30" t="s">
        <v>102</v>
      </c>
      <c r="U18" s="12"/>
      <c r="V18" s="45"/>
      <c r="W18" t="s">
        <v>64</v>
      </c>
    </row>
    <row r="19" spans="1:23" ht="25.15" customHeight="1" x14ac:dyDescent="0.25">
      <c r="A19" s="32"/>
      <c r="B19" s="109" t="s">
        <v>240</v>
      </c>
      <c r="C19" s="109"/>
      <c r="D19" s="109"/>
      <c r="E19" s="109"/>
      <c r="F19" s="109"/>
      <c r="G19" s="109"/>
      <c r="H19" s="110">
        <v>1</v>
      </c>
      <c r="I19" s="110"/>
      <c r="J19" s="110"/>
      <c r="K19" s="111">
        <v>55</v>
      </c>
      <c r="L19" s="111"/>
      <c r="M19" s="112" t="s">
        <v>254</v>
      </c>
      <c r="N19" s="112"/>
      <c r="O19" s="112"/>
      <c r="P19" s="35"/>
      <c r="R19" s="28">
        <v>13</v>
      </c>
      <c r="S19" s="28" t="s">
        <v>104</v>
      </c>
      <c r="T19" s="30" t="s">
        <v>103</v>
      </c>
      <c r="U19" s="12"/>
      <c r="V19" s="44" t="s">
        <v>51</v>
      </c>
      <c r="W19" t="s">
        <v>65</v>
      </c>
    </row>
    <row r="20" spans="1:23" ht="25.15" customHeight="1" x14ac:dyDescent="0.25">
      <c r="A20" s="32"/>
      <c r="B20" s="109" t="s">
        <v>183</v>
      </c>
      <c r="C20" s="109"/>
      <c r="D20" s="109"/>
      <c r="E20" s="109"/>
      <c r="F20" s="109"/>
      <c r="G20" s="109"/>
      <c r="H20" s="110">
        <v>9</v>
      </c>
      <c r="I20" s="110"/>
      <c r="J20" s="110"/>
      <c r="K20" s="111">
        <v>483</v>
      </c>
      <c r="L20" s="111"/>
      <c r="M20" s="125" t="s">
        <v>258</v>
      </c>
      <c r="N20" s="112"/>
      <c r="O20" s="112"/>
      <c r="P20" s="35"/>
      <c r="R20" s="28">
        <v>14</v>
      </c>
      <c r="S20" s="28" t="s">
        <v>105</v>
      </c>
      <c r="T20" s="30" t="s">
        <v>106</v>
      </c>
      <c r="U20" s="12"/>
      <c r="V20" s="45"/>
      <c r="W20" t="s">
        <v>66</v>
      </c>
    </row>
    <row r="21" spans="1:23" ht="25.15" customHeight="1" x14ac:dyDescent="0.25">
      <c r="A21" s="32"/>
      <c r="B21" s="109" t="s">
        <v>259</v>
      </c>
      <c r="C21" s="109"/>
      <c r="D21" s="109"/>
      <c r="E21" s="109"/>
      <c r="F21" s="109"/>
      <c r="G21" s="109"/>
      <c r="H21" s="110">
        <v>1</v>
      </c>
      <c r="I21" s="110"/>
      <c r="J21" s="110"/>
      <c r="K21" s="111">
        <v>13</v>
      </c>
      <c r="L21" s="111"/>
      <c r="M21" s="112" t="s">
        <v>254</v>
      </c>
      <c r="N21" s="112"/>
      <c r="O21" s="112"/>
      <c r="P21" s="35"/>
      <c r="R21" s="28">
        <v>15</v>
      </c>
      <c r="S21" s="28" t="s">
        <v>108</v>
      </c>
      <c r="T21" s="30" t="s">
        <v>107</v>
      </c>
      <c r="U21" s="12"/>
      <c r="V21" s="45"/>
      <c r="W21" t="s">
        <v>68</v>
      </c>
    </row>
    <row r="22" spans="1:23" ht="25.15" customHeight="1" x14ac:dyDescent="0.25">
      <c r="A22" s="32"/>
      <c r="B22" s="109" t="s">
        <v>260</v>
      </c>
      <c r="C22" s="109"/>
      <c r="D22" s="109"/>
      <c r="E22" s="109"/>
      <c r="F22" s="109"/>
      <c r="G22" s="109"/>
      <c r="H22" s="110">
        <v>1</v>
      </c>
      <c r="I22" s="110"/>
      <c r="J22" s="110"/>
      <c r="K22" s="111">
        <v>58</v>
      </c>
      <c r="L22" s="111"/>
      <c r="M22" s="112" t="s">
        <v>254</v>
      </c>
      <c r="N22" s="112"/>
      <c r="O22" s="112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09" t="s">
        <v>184</v>
      </c>
      <c r="C23" s="109"/>
      <c r="D23" s="109"/>
      <c r="E23" s="109"/>
      <c r="F23" s="109"/>
      <c r="G23" s="109"/>
      <c r="H23" s="110">
        <v>5</v>
      </c>
      <c r="I23" s="110"/>
      <c r="J23" s="110"/>
      <c r="K23" s="111">
        <v>223</v>
      </c>
      <c r="L23" s="111"/>
      <c r="M23" s="112" t="s">
        <v>258</v>
      </c>
      <c r="N23" s="112"/>
      <c r="O23" s="112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09" t="s">
        <v>185</v>
      </c>
      <c r="C24" s="109"/>
      <c r="D24" s="109"/>
      <c r="E24" s="109"/>
      <c r="F24" s="109"/>
      <c r="G24" s="109"/>
      <c r="H24" s="110">
        <v>4</v>
      </c>
      <c r="I24" s="110"/>
      <c r="J24" s="110"/>
      <c r="K24" s="111">
        <v>186</v>
      </c>
      <c r="L24" s="111"/>
      <c r="M24" s="112" t="s">
        <v>258</v>
      </c>
      <c r="N24" s="112"/>
      <c r="O24" s="112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09" t="s">
        <v>261</v>
      </c>
      <c r="C25" s="109"/>
      <c r="D25" s="109"/>
      <c r="E25" s="109"/>
      <c r="F25" s="109"/>
      <c r="G25" s="109"/>
      <c r="H25" s="110">
        <v>3</v>
      </c>
      <c r="I25" s="110"/>
      <c r="J25" s="110"/>
      <c r="K25" s="111">
        <v>126</v>
      </c>
      <c r="L25" s="111"/>
      <c r="M25" s="112" t="s">
        <v>262</v>
      </c>
      <c r="N25" s="112"/>
      <c r="O25" s="112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09" t="s">
        <v>263</v>
      </c>
      <c r="C26" s="109"/>
      <c r="D26" s="109"/>
      <c r="E26" s="109"/>
      <c r="F26" s="109"/>
      <c r="G26" s="109"/>
      <c r="H26" s="110">
        <v>1</v>
      </c>
      <c r="I26" s="110"/>
      <c r="J26" s="110"/>
      <c r="K26" s="111">
        <v>37</v>
      </c>
      <c r="L26" s="111"/>
      <c r="M26" s="112" t="s">
        <v>254</v>
      </c>
      <c r="N26" s="112"/>
      <c r="O26" s="112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09" t="s">
        <v>264</v>
      </c>
      <c r="C27" s="109"/>
      <c r="D27" s="109"/>
      <c r="E27" s="109"/>
      <c r="F27" s="109"/>
      <c r="G27" s="109"/>
      <c r="H27" s="110">
        <v>2</v>
      </c>
      <c r="I27" s="110"/>
      <c r="J27" s="110"/>
      <c r="K27" s="111">
        <v>92</v>
      </c>
      <c r="L27" s="111"/>
      <c r="M27" s="112" t="s">
        <v>254</v>
      </c>
      <c r="N27" s="112"/>
      <c r="O27" s="112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09" t="s">
        <v>265</v>
      </c>
      <c r="C28" s="109"/>
      <c r="D28" s="109"/>
      <c r="E28" s="109"/>
      <c r="F28" s="109"/>
      <c r="G28" s="109"/>
      <c r="H28" s="110">
        <v>11</v>
      </c>
      <c r="I28" s="110"/>
      <c r="J28" s="110"/>
      <c r="K28" s="111">
        <v>560</v>
      </c>
      <c r="L28" s="111"/>
      <c r="M28" s="112" t="s">
        <v>262</v>
      </c>
      <c r="N28" s="112"/>
      <c r="O28" s="112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09" t="s">
        <v>266</v>
      </c>
      <c r="C29" s="109"/>
      <c r="D29" s="109"/>
      <c r="E29" s="109"/>
      <c r="F29" s="109"/>
      <c r="G29" s="109"/>
      <c r="H29" s="110">
        <v>21</v>
      </c>
      <c r="I29" s="110"/>
      <c r="J29" s="110"/>
      <c r="K29" s="111">
        <v>1069</v>
      </c>
      <c r="L29" s="111"/>
      <c r="M29" s="112" t="s">
        <v>262</v>
      </c>
      <c r="N29" s="112"/>
      <c r="O29" s="112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09" t="s">
        <v>267</v>
      </c>
      <c r="C30" s="109"/>
      <c r="D30" s="109"/>
      <c r="E30" s="109"/>
      <c r="F30" s="109"/>
      <c r="G30" s="109"/>
      <c r="H30" s="110">
        <v>13</v>
      </c>
      <c r="I30" s="110"/>
      <c r="J30" s="110"/>
      <c r="K30" s="111">
        <v>754</v>
      </c>
      <c r="L30" s="111"/>
      <c r="M30" s="112" t="s">
        <v>262</v>
      </c>
      <c r="N30" s="112"/>
      <c r="O30" s="112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09" t="s">
        <v>135</v>
      </c>
      <c r="C31" s="109"/>
      <c r="D31" s="109"/>
      <c r="E31" s="109"/>
      <c r="F31" s="109"/>
      <c r="G31" s="109"/>
      <c r="H31" s="110">
        <v>32</v>
      </c>
      <c r="I31" s="110"/>
      <c r="J31" s="110"/>
      <c r="K31" s="111">
        <v>2603</v>
      </c>
      <c r="L31" s="111"/>
      <c r="M31" s="112" t="s">
        <v>268</v>
      </c>
      <c r="N31" s="112"/>
      <c r="O31" s="112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09" t="s">
        <v>269</v>
      </c>
      <c r="C32" s="109"/>
      <c r="D32" s="109"/>
      <c r="E32" s="109"/>
      <c r="F32" s="109"/>
      <c r="G32" s="109"/>
      <c r="H32" s="110">
        <v>1</v>
      </c>
      <c r="I32" s="110"/>
      <c r="J32" s="110"/>
      <c r="K32" s="111">
        <v>21</v>
      </c>
      <c r="L32" s="111"/>
      <c r="M32" s="112" t="s">
        <v>254</v>
      </c>
      <c r="N32" s="112"/>
      <c r="O32" s="112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09" t="s">
        <v>227</v>
      </c>
      <c r="C33" s="109"/>
      <c r="D33" s="109"/>
      <c r="E33" s="109"/>
      <c r="F33" s="109"/>
      <c r="G33" s="109"/>
      <c r="H33" s="110">
        <v>15</v>
      </c>
      <c r="I33" s="110"/>
      <c r="J33" s="110"/>
      <c r="K33" s="111">
        <v>844</v>
      </c>
      <c r="L33" s="111"/>
      <c r="M33" s="112" t="s">
        <v>262</v>
      </c>
      <c r="N33" s="112"/>
      <c r="O33" s="112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09" t="s">
        <v>228</v>
      </c>
      <c r="C34" s="109"/>
      <c r="D34" s="109"/>
      <c r="E34" s="109"/>
      <c r="F34" s="109"/>
      <c r="G34" s="109"/>
      <c r="H34" s="110">
        <v>10</v>
      </c>
      <c r="I34" s="110"/>
      <c r="J34" s="110"/>
      <c r="K34" s="111">
        <v>506</v>
      </c>
      <c r="L34" s="111"/>
      <c r="M34" s="112" t="s">
        <v>262</v>
      </c>
      <c r="N34" s="112"/>
      <c r="O34" s="112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26" t="s">
        <v>17</v>
      </c>
      <c r="B35" s="127"/>
      <c r="C35" s="127"/>
      <c r="D35" s="127"/>
      <c r="E35" s="127"/>
      <c r="F35" s="127"/>
      <c r="G35" s="116"/>
      <c r="H35" s="128">
        <f>SUM(H15:J34)</f>
        <v>136</v>
      </c>
      <c r="I35" s="129"/>
      <c r="J35" s="130"/>
      <c r="K35" s="131">
        <f>SUM(K15:L34)</f>
        <v>7909</v>
      </c>
      <c r="L35" s="132"/>
      <c r="M35" s="133"/>
      <c r="N35" s="134"/>
      <c r="O35" s="135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37" t="s">
        <v>22</v>
      </c>
      <c r="B37" s="138"/>
      <c r="C37" s="138"/>
      <c r="D37" s="139" t="s">
        <v>294</v>
      </c>
      <c r="E37" s="139"/>
      <c r="F37" s="139"/>
      <c r="G37" s="138" t="s">
        <v>23</v>
      </c>
      <c r="H37" s="138"/>
      <c r="I37" s="138"/>
      <c r="J37" s="138"/>
      <c r="K37" s="138"/>
      <c r="L37" s="138"/>
      <c r="M37" s="140" t="s">
        <v>292</v>
      </c>
      <c r="N37" s="140"/>
      <c r="O37" s="140"/>
      <c r="P37" s="141"/>
      <c r="R37" s="23"/>
      <c r="S37" s="24"/>
      <c r="T37" s="21"/>
      <c r="W37" t="s">
        <v>84</v>
      </c>
    </row>
    <row r="38" spans="1:23" ht="31.9" customHeight="1" x14ac:dyDescent="0.25">
      <c r="A38" s="142" t="s">
        <v>24</v>
      </c>
      <c r="B38" s="143"/>
      <c r="C38" s="143"/>
      <c r="D38" s="144" t="s">
        <v>293</v>
      </c>
      <c r="E38" s="144"/>
      <c r="F38" s="144"/>
      <c r="G38" s="143" t="s">
        <v>25</v>
      </c>
      <c r="H38" s="143"/>
      <c r="I38" s="143"/>
      <c r="J38" s="143"/>
      <c r="K38" s="143"/>
      <c r="L38" s="143"/>
      <c r="M38" s="145" t="s">
        <v>291</v>
      </c>
      <c r="N38" s="145"/>
      <c r="O38" s="145"/>
      <c r="P38" s="146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36" t="s">
        <v>18</v>
      </c>
      <c r="B40" s="136"/>
      <c r="C40" s="136"/>
      <c r="D40" s="4"/>
      <c r="E40" s="4"/>
      <c r="F40" s="136" t="s">
        <v>19</v>
      </c>
      <c r="G40" s="136"/>
      <c r="H40" s="36"/>
      <c r="I40" s="36"/>
      <c r="J40" s="36"/>
      <c r="K40" s="4"/>
      <c r="L40" s="136" t="s">
        <v>20</v>
      </c>
      <c r="M40" s="136"/>
      <c r="N40" s="136"/>
      <c r="O40" s="136"/>
      <c r="P40" s="136"/>
      <c r="W40" t="s">
        <v>87</v>
      </c>
    </row>
    <row r="41" spans="1:23" ht="8.25" customHeight="1" x14ac:dyDescent="0.25"/>
    <row r="42" spans="1:23" ht="36.75" customHeight="1" x14ac:dyDescent="0.25">
      <c r="A42" s="37"/>
      <c r="B42" s="37"/>
      <c r="C42" s="37"/>
      <c r="D42" s="38" t="s">
        <v>27</v>
      </c>
      <c r="E42" s="38"/>
      <c r="F42" s="38"/>
      <c r="G42" s="38"/>
      <c r="H42" s="38"/>
      <c r="I42" s="38"/>
      <c r="J42" s="38"/>
      <c r="K42" s="38"/>
      <c r="L42" s="38"/>
      <c r="M42" s="39" t="str">
        <f>M2</f>
        <v>FORM STR 03
REVISION NO 01</v>
      </c>
      <c r="N42" s="39"/>
      <c r="O42" s="39"/>
      <c r="P42" s="39"/>
      <c r="Q42" s="10"/>
      <c r="W42" t="s">
        <v>111</v>
      </c>
    </row>
    <row r="43" spans="1:23" ht="22.15" customHeight="1" x14ac:dyDescent="0.25">
      <c r="A43" s="37"/>
      <c r="B43" s="37"/>
      <c r="C43" s="37"/>
      <c r="D43" s="38"/>
      <c r="E43" s="38"/>
      <c r="F43" s="38"/>
      <c r="G43" s="38"/>
      <c r="H43" s="38"/>
      <c r="I43" s="38"/>
      <c r="J43" s="38"/>
      <c r="K43" s="38"/>
      <c r="L43" s="38"/>
      <c r="M43" s="39"/>
      <c r="N43" s="39"/>
      <c r="O43" s="39"/>
      <c r="P43" s="39"/>
      <c r="Q43" s="10"/>
    </row>
    <row r="44" spans="1:23" ht="17.45" customHeight="1" x14ac:dyDescent="0.25">
      <c r="A44" s="40"/>
      <c r="B44" s="40"/>
      <c r="C44" s="40"/>
      <c r="D44" s="41" t="s">
        <v>21</v>
      </c>
      <c r="E44" s="41"/>
      <c r="F44" s="41"/>
      <c r="G44" s="41"/>
      <c r="H44" s="41"/>
      <c r="I44" s="41"/>
      <c r="J44" s="41"/>
      <c r="K44" s="41"/>
      <c r="L44" s="41"/>
      <c r="M44" s="11"/>
    </row>
    <row r="45" spans="1:23" ht="22.15" customHeight="1" thickBot="1" x14ac:dyDescent="0.35">
      <c r="A45" s="42"/>
      <c r="B45" s="42"/>
      <c r="C45" s="1"/>
      <c r="D45" s="43" t="s">
        <v>90</v>
      </c>
      <c r="E45" s="43"/>
      <c r="F45" s="43"/>
      <c r="G45" s="43"/>
      <c r="H45" s="43"/>
      <c r="I45" s="43"/>
      <c r="J45" s="43"/>
      <c r="K45" s="43"/>
      <c r="L45" s="43"/>
      <c r="M45" s="2"/>
      <c r="N45" s="37"/>
      <c r="O45" s="37"/>
      <c r="P45" s="37"/>
    </row>
    <row r="46" spans="1:23" ht="15.6" customHeight="1" thickBot="1" x14ac:dyDescent="0.35">
      <c r="A46" s="71" t="s">
        <v>9</v>
      </c>
      <c r="B46" s="72"/>
      <c r="C46" s="73" t="str">
        <f>C6</f>
        <v>O546</v>
      </c>
      <c r="D46" s="73"/>
      <c r="E46" s="73"/>
      <c r="F46" s="74"/>
      <c r="G46" s="2"/>
      <c r="H46" s="75" t="s">
        <v>4</v>
      </c>
      <c r="I46" s="76"/>
      <c r="J46" s="76"/>
      <c r="K46" s="8" t="s">
        <v>7</v>
      </c>
      <c r="L46" s="77" t="str">
        <f>L6</f>
        <v>JP 523807</v>
      </c>
      <c r="M46" s="77"/>
      <c r="N46" s="77"/>
      <c r="O46" s="77"/>
      <c r="P46" s="78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52" t="s">
        <v>5</v>
      </c>
      <c r="I47" s="53"/>
      <c r="J47" s="53"/>
      <c r="K47" s="9" t="s">
        <v>7</v>
      </c>
      <c r="L47" s="79">
        <f>L7</f>
        <v>45687</v>
      </c>
      <c r="M47" s="79"/>
      <c r="N47" s="79"/>
      <c r="O47" s="79"/>
      <c r="P47" s="80"/>
      <c r="R47" s="88"/>
      <c r="S47" s="88"/>
      <c r="T47" s="147"/>
      <c r="U47" s="26"/>
      <c r="V47" s="147"/>
    </row>
    <row r="48" spans="1:23" ht="18" customHeight="1" x14ac:dyDescent="0.3">
      <c r="A48" s="46" t="str">
        <f>A8</f>
        <v>KDS Logistics Ltd.
Ghoramara, Sonalchari, Sitakunda
Chattogram 4318, Bangladesh.</v>
      </c>
      <c r="B48" s="47"/>
      <c r="C48" s="47"/>
      <c r="D48" s="47"/>
      <c r="E48" s="47"/>
      <c r="F48" s="48"/>
      <c r="G48" s="2"/>
      <c r="H48" s="52" t="s">
        <v>8</v>
      </c>
      <c r="I48" s="53"/>
      <c r="J48" s="53"/>
      <c r="K48" s="9" t="s">
        <v>7</v>
      </c>
      <c r="L48" s="54" t="str">
        <f>L8</f>
        <v>SEA</v>
      </c>
      <c r="M48" s="54"/>
      <c r="N48" s="54"/>
      <c r="O48" s="54"/>
      <c r="P48" s="55"/>
      <c r="R48" s="88"/>
      <c r="S48" s="88"/>
      <c r="T48" s="148"/>
      <c r="U48" s="26"/>
      <c r="V48" s="148"/>
    </row>
    <row r="49" spans="1:22" ht="17.45" customHeight="1" x14ac:dyDescent="0.3">
      <c r="A49" s="46"/>
      <c r="B49" s="47"/>
      <c r="C49" s="47"/>
      <c r="D49" s="47"/>
      <c r="E49" s="47"/>
      <c r="F49" s="48"/>
      <c r="G49" s="2"/>
      <c r="H49" s="56" t="s">
        <v>6</v>
      </c>
      <c r="I49" s="57"/>
      <c r="J49" s="57"/>
      <c r="K49" s="62" t="s">
        <v>7</v>
      </c>
      <c r="L49" s="65" t="str">
        <f>L9</f>
        <v>M/S. Kabir &amp; Co.
1104DT Road West Madarbari,
Chattogram, Bangladesh.</v>
      </c>
      <c r="M49" s="65"/>
      <c r="N49" s="65"/>
      <c r="O49" s="65"/>
      <c r="P49" s="66"/>
      <c r="R49" s="88"/>
      <c r="S49" s="88"/>
      <c r="T49" s="148"/>
      <c r="U49" s="26"/>
      <c r="V49" s="148"/>
    </row>
    <row r="50" spans="1:22" ht="18" thickBot="1" x14ac:dyDescent="0.35">
      <c r="A50" s="49"/>
      <c r="B50" s="50"/>
      <c r="C50" s="50"/>
      <c r="D50" s="50"/>
      <c r="E50" s="50"/>
      <c r="F50" s="51"/>
      <c r="G50" s="2"/>
      <c r="H50" s="58"/>
      <c r="I50" s="59"/>
      <c r="J50" s="59"/>
      <c r="K50" s="63"/>
      <c r="L50" s="67"/>
      <c r="M50" s="67"/>
      <c r="N50" s="67"/>
      <c r="O50" s="67"/>
      <c r="P50" s="68"/>
      <c r="R50" s="88"/>
      <c r="S50" s="88"/>
      <c r="T50" s="147"/>
      <c r="U50" s="26"/>
      <c r="V50" s="147"/>
    </row>
    <row r="51" spans="1:22" ht="18" customHeight="1" thickBot="1" x14ac:dyDescent="0.35">
      <c r="A51" s="42"/>
      <c r="B51" s="42"/>
      <c r="C51" s="1"/>
      <c r="D51" s="2"/>
      <c r="E51" s="2"/>
      <c r="F51" s="2"/>
      <c r="G51" s="2"/>
      <c r="H51" s="60"/>
      <c r="I51" s="61"/>
      <c r="J51" s="61"/>
      <c r="K51" s="64"/>
      <c r="L51" s="69"/>
      <c r="M51" s="69"/>
      <c r="N51" s="69"/>
      <c r="O51" s="69"/>
      <c r="P51" s="70"/>
      <c r="R51" s="88"/>
      <c r="S51" s="88"/>
      <c r="T51" s="147"/>
      <c r="U51" s="26"/>
      <c r="V51" s="148"/>
    </row>
    <row r="52" spans="1:22" ht="16.149999999999999" customHeight="1" x14ac:dyDescent="0.25">
      <c r="A52" s="103" t="s">
        <v>12</v>
      </c>
      <c r="B52" s="104"/>
      <c r="C52" s="105" t="s">
        <v>0</v>
      </c>
      <c r="D52" s="105"/>
      <c r="E52" s="105"/>
      <c r="F52" s="105"/>
      <c r="G52" s="105"/>
      <c r="H52" s="81" t="s">
        <v>1</v>
      </c>
      <c r="I52" s="82"/>
      <c r="J52" s="82"/>
      <c r="K52" s="82"/>
      <c r="L52" s="83"/>
      <c r="M52" s="84" t="s">
        <v>16</v>
      </c>
      <c r="N52" s="85"/>
      <c r="O52" s="86"/>
      <c r="P52" s="93" t="s">
        <v>3</v>
      </c>
      <c r="R52" s="88"/>
      <c r="S52" s="88"/>
      <c r="T52" s="147"/>
      <c r="U52" s="26"/>
      <c r="V52" s="148"/>
    </row>
    <row r="53" spans="1:22" ht="16.149999999999999" customHeight="1" x14ac:dyDescent="0.25">
      <c r="A53" s="3" t="s">
        <v>13</v>
      </c>
      <c r="B53" s="33">
        <f>B13</f>
        <v>1</v>
      </c>
      <c r="C53" s="96" t="str">
        <f>C13</f>
        <v>Delivery of Readymade Garments</v>
      </c>
      <c r="D53" s="96"/>
      <c r="E53" s="96"/>
      <c r="F53" s="96"/>
      <c r="G53" s="96"/>
      <c r="H53" s="97" t="s">
        <v>2</v>
      </c>
      <c r="I53" s="98"/>
      <c r="J53" s="99"/>
      <c r="K53" s="97" t="s">
        <v>15</v>
      </c>
      <c r="L53" s="99"/>
      <c r="M53" s="87"/>
      <c r="N53" s="88"/>
      <c r="O53" s="89"/>
      <c r="P53" s="94"/>
      <c r="R53" s="88"/>
      <c r="S53" s="88"/>
      <c r="T53" s="147"/>
      <c r="V53" s="147"/>
    </row>
    <row r="54" spans="1:22" ht="16.149999999999999" customHeight="1" thickBot="1" x14ac:dyDescent="0.3">
      <c r="A54" s="113" t="s">
        <v>11</v>
      </c>
      <c r="B54" s="114"/>
      <c r="C54" s="115" t="str">
        <f>C14</f>
        <v>H &amp; M</v>
      </c>
      <c r="D54" s="116"/>
      <c r="E54" s="117" t="s">
        <v>88</v>
      </c>
      <c r="F54" s="118"/>
      <c r="G54" s="114"/>
      <c r="H54" s="100"/>
      <c r="I54" s="101"/>
      <c r="J54" s="102"/>
      <c r="K54" s="100"/>
      <c r="L54" s="102"/>
      <c r="M54" s="90"/>
      <c r="N54" s="91"/>
      <c r="O54" s="92"/>
      <c r="P54" s="95"/>
      <c r="R54" s="88"/>
      <c r="S54" s="88"/>
      <c r="T54" s="147"/>
      <c r="V54" s="148"/>
    </row>
    <row r="55" spans="1:22" ht="25.15" customHeight="1" x14ac:dyDescent="0.25">
      <c r="A55" s="31">
        <f>A15</f>
        <v>0</v>
      </c>
      <c r="B55" s="119" t="str">
        <f>B15</f>
        <v>300726-5832</v>
      </c>
      <c r="C55" s="119"/>
      <c r="D55" s="119"/>
      <c r="E55" s="119"/>
      <c r="F55" s="119"/>
      <c r="G55" s="119"/>
      <c r="H55" s="120">
        <f>H15</f>
        <v>1</v>
      </c>
      <c r="I55" s="121"/>
      <c r="J55" s="122"/>
      <c r="K55" s="123">
        <f>K15</f>
        <v>67</v>
      </c>
      <c r="L55" s="124"/>
      <c r="M55" s="106" t="str">
        <f>M15</f>
        <v>NH</v>
      </c>
      <c r="N55" s="107"/>
      <c r="O55" s="108"/>
      <c r="P55" s="35">
        <f>P15</f>
        <v>0</v>
      </c>
      <c r="R55" s="88"/>
      <c r="S55" s="88"/>
      <c r="T55" s="147"/>
      <c r="V55" s="148"/>
    </row>
    <row r="56" spans="1:22" ht="25.15" customHeight="1" x14ac:dyDescent="0.25">
      <c r="A56" s="32">
        <f>A16</f>
        <v>0</v>
      </c>
      <c r="B56" s="109" t="str">
        <f>B16</f>
        <v>300624-5832</v>
      </c>
      <c r="C56" s="109"/>
      <c r="D56" s="109"/>
      <c r="E56" s="109"/>
      <c r="F56" s="109"/>
      <c r="G56" s="109"/>
      <c r="H56" s="110">
        <f>H16</f>
        <v>3</v>
      </c>
      <c r="I56" s="110"/>
      <c r="J56" s="110"/>
      <c r="K56" s="111">
        <f>K16</f>
        <v>117</v>
      </c>
      <c r="L56" s="111"/>
      <c r="M56" s="112" t="str">
        <f t="shared" ref="M56:M74" si="0">M16</f>
        <v>NH</v>
      </c>
      <c r="N56" s="112"/>
      <c r="O56" s="112"/>
      <c r="P56" s="35">
        <f>P16</f>
        <v>0</v>
      </c>
      <c r="R56" s="88"/>
      <c r="S56" s="88"/>
      <c r="T56" s="67"/>
      <c r="V56" s="147"/>
    </row>
    <row r="57" spans="1:22" ht="25.15" customHeight="1" x14ac:dyDescent="0.25">
      <c r="A57" s="32">
        <f t="shared" ref="A57:B72" si="1">A17</f>
        <v>0</v>
      </c>
      <c r="B57" s="109" t="str">
        <f t="shared" si="1"/>
        <v>300625-5832</v>
      </c>
      <c r="C57" s="109"/>
      <c r="D57" s="109"/>
      <c r="E57" s="109"/>
      <c r="F57" s="109"/>
      <c r="G57" s="109"/>
      <c r="H57" s="110">
        <f>H17</f>
        <v>1</v>
      </c>
      <c r="I57" s="110"/>
      <c r="J57" s="110"/>
      <c r="K57" s="111">
        <f>K17</f>
        <v>44</v>
      </c>
      <c r="L57" s="111"/>
      <c r="M57" s="112" t="str">
        <f t="shared" si="0"/>
        <v>NH</v>
      </c>
      <c r="N57" s="112"/>
      <c r="O57" s="112"/>
      <c r="P57" s="35">
        <f t="shared" ref="P57:P74" si="2">P17</f>
        <v>0</v>
      </c>
      <c r="R57" s="88"/>
      <c r="S57" s="88"/>
      <c r="T57" s="67"/>
      <c r="V57" s="148"/>
    </row>
    <row r="58" spans="1:22" ht="25.15" customHeight="1" x14ac:dyDescent="0.25">
      <c r="A58" s="32">
        <f t="shared" si="1"/>
        <v>0</v>
      </c>
      <c r="B58" s="109" t="str">
        <f t="shared" si="1"/>
        <v>296984-7272</v>
      </c>
      <c r="C58" s="109"/>
      <c r="D58" s="109"/>
      <c r="E58" s="109"/>
      <c r="F58" s="109"/>
      <c r="G58" s="109"/>
      <c r="H58" s="110">
        <f t="shared" ref="H58:H74" si="3">H18</f>
        <v>1</v>
      </c>
      <c r="I58" s="110"/>
      <c r="J58" s="110"/>
      <c r="K58" s="111">
        <f t="shared" ref="K58:K74" si="4">K18</f>
        <v>51</v>
      </c>
      <c r="L58" s="111"/>
      <c r="M58" s="112" t="str">
        <f t="shared" si="0"/>
        <v>NH</v>
      </c>
      <c r="N58" s="112"/>
      <c r="O58" s="112"/>
      <c r="P58" s="35">
        <f t="shared" si="2"/>
        <v>0</v>
      </c>
      <c r="R58" s="88"/>
      <c r="S58" s="88"/>
      <c r="T58" s="67"/>
      <c r="V58" s="148"/>
    </row>
    <row r="59" spans="1:22" ht="25.15" customHeight="1" x14ac:dyDescent="0.25">
      <c r="A59" s="32">
        <f t="shared" si="1"/>
        <v>0</v>
      </c>
      <c r="B59" s="109" t="str">
        <f t="shared" si="1"/>
        <v>302714-5832</v>
      </c>
      <c r="C59" s="109"/>
      <c r="D59" s="109"/>
      <c r="E59" s="109"/>
      <c r="F59" s="109"/>
      <c r="G59" s="109"/>
      <c r="H59" s="110">
        <f t="shared" si="3"/>
        <v>1</v>
      </c>
      <c r="I59" s="110"/>
      <c r="J59" s="110"/>
      <c r="K59" s="111">
        <f t="shared" si="4"/>
        <v>55</v>
      </c>
      <c r="L59" s="111"/>
      <c r="M59" s="112" t="str">
        <f t="shared" si="0"/>
        <v>NH</v>
      </c>
      <c r="N59" s="112"/>
      <c r="O59" s="112"/>
      <c r="P59" s="35">
        <f t="shared" si="2"/>
        <v>0</v>
      </c>
      <c r="R59" s="88"/>
      <c r="S59" s="88"/>
      <c r="T59" s="67"/>
      <c r="V59" s="147"/>
    </row>
    <row r="60" spans="1:22" ht="25.15" customHeight="1" x14ac:dyDescent="0.25">
      <c r="A60" s="32">
        <f t="shared" si="1"/>
        <v>0</v>
      </c>
      <c r="B60" s="109" t="str">
        <f t="shared" si="1"/>
        <v>328562-7952</v>
      </c>
      <c r="C60" s="109"/>
      <c r="D60" s="109"/>
      <c r="E60" s="109"/>
      <c r="F60" s="109"/>
      <c r="G60" s="109"/>
      <c r="H60" s="110">
        <f t="shared" si="3"/>
        <v>9</v>
      </c>
      <c r="I60" s="110"/>
      <c r="J60" s="110"/>
      <c r="K60" s="111">
        <f t="shared" si="4"/>
        <v>483</v>
      </c>
      <c r="L60" s="111"/>
      <c r="M60" s="112" t="str">
        <f t="shared" si="0"/>
        <v>LD</v>
      </c>
      <c r="N60" s="112"/>
      <c r="O60" s="112"/>
      <c r="P60" s="35">
        <f t="shared" si="2"/>
        <v>0</v>
      </c>
      <c r="R60" s="88"/>
      <c r="S60" s="88"/>
      <c r="T60" s="67"/>
      <c r="V60" s="148"/>
    </row>
    <row r="61" spans="1:22" ht="25.15" customHeight="1" x14ac:dyDescent="0.25">
      <c r="A61" s="32">
        <f t="shared" si="1"/>
        <v>0</v>
      </c>
      <c r="B61" s="109" t="str">
        <f t="shared" si="1"/>
        <v>283988-5828</v>
      </c>
      <c r="C61" s="109"/>
      <c r="D61" s="109"/>
      <c r="E61" s="109"/>
      <c r="F61" s="109"/>
      <c r="G61" s="109"/>
      <c r="H61" s="110">
        <f t="shared" si="3"/>
        <v>1</v>
      </c>
      <c r="I61" s="110"/>
      <c r="J61" s="110"/>
      <c r="K61" s="111">
        <f t="shared" si="4"/>
        <v>13</v>
      </c>
      <c r="L61" s="111"/>
      <c r="M61" s="112" t="str">
        <f t="shared" si="0"/>
        <v>NH</v>
      </c>
      <c r="N61" s="112"/>
      <c r="O61" s="112"/>
      <c r="P61" s="35">
        <f t="shared" si="2"/>
        <v>0</v>
      </c>
      <c r="R61" s="88"/>
      <c r="S61" s="88"/>
      <c r="T61" s="67"/>
      <c r="V61" s="148"/>
    </row>
    <row r="62" spans="1:22" ht="25.15" customHeight="1" x14ac:dyDescent="0.25">
      <c r="A62" s="32">
        <f t="shared" si="1"/>
        <v>0</v>
      </c>
      <c r="B62" s="109" t="str">
        <f t="shared" si="1"/>
        <v>284072-5828</v>
      </c>
      <c r="C62" s="109"/>
      <c r="D62" s="109"/>
      <c r="E62" s="109"/>
      <c r="F62" s="109"/>
      <c r="G62" s="109"/>
      <c r="H62" s="110">
        <f t="shared" si="3"/>
        <v>1</v>
      </c>
      <c r="I62" s="110"/>
      <c r="J62" s="110"/>
      <c r="K62" s="111">
        <f t="shared" si="4"/>
        <v>58</v>
      </c>
      <c r="L62" s="111"/>
      <c r="M62" s="112" t="str">
        <f t="shared" si="0"/>
        <v>NH</v>
      </c>
      <c r="N62" s="112"/>
      <c r="O62" s="112"/>
      <c r="P62" s="35">
        <f t="shared" si="2"/>
        <v>0</v>
      </c>
      <c r="R62" s="88"/>
      <c r="S62" s="88"/>
      <c r="T62" s="67"/>
    </row>
    <row r="63" spans="1:22" ht="25.15" customHeight="1" x14ac:dyDescent="0.25">
      <c r="A63" s="32">
        <f t="shared" si="1"/>
        <v>0</v>
      </c>
      <c r="B63" s="109" t="str">
        <f t="shared" si="1"/>
        <v>321334-5828</v>
      </c>
      <c r="C63" s="109"/>
      <c r="D63" s="109"/>
      <c r="E63" s="109"/>
      <c r="F63" s="109"/>
      <c r="G63" s="109"/>
      <c r="H63" s="110">
        <f t="shared" si="3"/>
        <v>5</v>
      </c>
      <c r="I63" s="110"/>
      <c r="J63" s="110"/>
      <c r="K63" s="111">
        <f t="shared" si="4"/>
        <v>223</v>
      </c>
      <c r="L63" s="111"/>
      <c r="M63" s="112" t="str">
        <f t="shared" si="0"/>
        <v>LD</v>
      </c>
      <c r="N63" s="112"/>
      <c r="O63" s="112"/>
      <c r="P63" s="35">
        <f t="shared" si="2"/>
        <v>0</v>
      </c>
      <c r="R63" s="88"/>
      <c r="S63" s="88"/>
      <c r="T63" s="67"/>
    </row>
    <row r="64" spans="1:22" ht="25.15" customHeight="1" x14ac:dyDescent="0.25">
      <c r="A64" s="32">
        <f t="shared" si="1"/>
        <v>0</v>
      </c>
      <c r="B64" s="109" t="str">
        <f t="shared" si="1"/>
        <v>311047-5828</v>
      </c>
      <c r="C64" s="109"/>
      <c r="D64" s="109"/>
      <c r="E64" s="109"/>
      <c r="F64" s="109"/>
      <c r="G64" s="109"/>
      <c r="H64" s="110">
        <f t="shared" si="3"/>
        <v>4</v>
      </c>
      <c r="I64" s="110"/>
      <c r="J64" s="110"/>
      <c r="K64" s="111">
        <f t="shared" si="4"/>
        <v>186</v>
      </c>
      <c r="L64" s="111"/>
      <c r="M64" s="112" t="str">
        <f t="shared" si="0"/>
        <v>LD</v>
      </c>
      <c r="N64" s="112"/>
      <c r="O64" s="112"/>
      <c r="P64" s="35">
        <f t="shared" si="2"/>
        <v>0</v>
      </c>
      <c r="R64" s="88"/>
      <c r="S64" s="88"/>
      <c r="T64" s="67"/>
    </row>
    <row r="65" spans="1:20" ht="25.15" customHeight="1" x14ac:dyDescent="0.25">
      <c r="A65" s="32">
        <f t="shared" si="1"/>
        <v>0</v>
      </c>
      <c r="B65" s="109" t="str">
        <f t="shared" si="1"/>
        <v>272315-5828</v>
      </c>
      <c r="C65" s="109"/>
      <c r="D65" s="109"/>
      <c r="E65" s="109"/>
      <c r="F65" s="109"/>
      <c r="G65" s="109"/>
      <c r="H65" s="110">
        <f t="shared" si="3"/>
        <v>3</v>
      </c>
      <c r="I65" s="110"/>
      <c r="J65" s="110"/>
      <c r="K65" s="111">
        <f t="shared" si="4"/>
        <v>126</v>
      </c>
      <c r="L65" s="111"/>
      <c r="M65" s="112" t="str">
        <f t="shared" si="0"/>
        <v>MY</v>
      </c>
      <c r="N65" s="112"/>
      <c r="O65" s="112"/>
      <c r="P65" s="35">
        <f t="shared" si="2"/>
        <v>0</v>
      </c>
      <c r="R65" s="88"/>
      <c r="S65" s="88"/>
      <c r="T65" s="67"/>
    </row>
    <row r="66" spans="1:20" ht="25.15" customHeight="1" x14ac:dyDescent="0.25">
      <c r="A66" s="32">
        <f t="shared" si="1"/>
        <v>0</v>
      </c>
      <c r="B66" s="109" t="str">
        <f t="shared" si="1"/>
        <v>300626-5832</v>
      </c>
      <c r="C66" s="109"/>
      <c r="D66" s="109"/>
      <c r="E66" s="109"/>
      <c r="F66" s="109"/>
      <c r="G66" s="109"/>
      <c r="H66" s="110">
        <f t="shared" si="3"/>
        <v>1</v>
      </c>
      <c r="I66" s="110"/>
      <c r="J66" s="110"/>
      <c r="K66" s="111">
        <f t="shared" si="4"/>
        <v>37</v>
      </c>
      <c r="L66" s="111"/>
      <c r="M66" s="112" t="str">
        <f t="shared" si="0"/>
        <v>NH</v>
      </c>
      <c r="N66" s="112"/>
      <c r="O66" s="112"/>
      <c r="P66" s="35">
        <f t="shared" si="2"/>
        <v>0</v>
      </c>
      <c r="R66" s="88"/>
      <c r="S66" s="88"/>
      <c r="T66" s="67"/>
    </row>
    <row r="67" spans="1:20" ht="25.15" customHeight="1" x14ac:dyDescent="0.25">
      <c r="A67" s="32">
        <f t="shared" si="1"/>
        <v>0</v>
      </c>
      <c r="B67" s="109" t="str">
        <f t="shared" si="1"/>
        <v>300623-5832</v>
      </c>
      <c r="C67" s="109"/>
      <c r="D67" s="109"/>
      <c r="E67" s="109"/>
      <c r="F67" s="109"/>
      <c r="G67" s="109"/>
      <c r="H67" s="110">
        <f t="shared" si="3"/>
        <v>2</v>
      </c>
      <c r="I67" s="110"/>
      <c r="J67" s="110"/>
      <c r="K67" s="111">
        <f t="shared" si="4"/>
        <v>92</v>
      </c>
      <c r="L67" s="111"/>
      <c r="M67" s="112" t="str">
        <f t="shared" si="0"/>
        <v>NH</v>
      </c>
      <c r="N67" s="112"/>
      <c r="O67" s="112"/>
      <c r="P67" s="35">
        <f t="shared" si="2"/>
        <v>0</v>
      </c>
      <c r="R67" s="88"/>
      <c r="S67" s="88"/>
      <c r="T67" s="67"/>
    </row>
    <row r="68" spans="1:20" ht="25.15" customHeight="1" x14ac:dyDescent="0.25">
      <c r="A68" s="32">
        <f t="shared" si="1"/>
        <v>0</v>
      </c>
      <c r="B68" s="109" t="str">
        <f t="shared" si="1"/>
        <v>266270-5828</v>
      </c>
      <c r="C68" s="109"/>
      <c r="D68" s="109"/>
      <c r="E68" s="109"/>
      <c r="F68" s="109"/>
      <c r="G68" s="109"/>
      <c r="H68" s="110">
        <f t="shared" si="3"/>
        <v>11</v>
      </c>
      <c r="I68" s="110"/>
      <c r="J68" s="110"/>
      <c r="K68" s="111">
        <f t="shared" si="4"/>
        <v>560</v>
      </c>
      <c r="L68" s="111"/>
      <c r="M68" s="112" t="str">
        <f t="shared" si="0"/>
        <v>MY</v>
      </c>
      <c r="N68" s="112"/>
      <c r="O68" s="112"/>
      <c r="P68" s="35">
        <f t="shared" si="2"/>
        <v>0</v>
      </c>
      <c r="R68" s="88"/>
      <c r="S68" s="88"/>
      <c r="T68" s="67"/>
    </row>
    <row r="69" spans="1:20" ht="25.15" customHeight="1" x14ac:dyDescent="0.25">
      <c r="A69" s="32">
        <f t="shared" si="1"/>
        <v>0</v>
      </c>
      <c r="B69" s="109" t="str">
        <f t="shared" si="1"/>
        <v>267089-5828</v>
      </c>
      <c r="C69" s="109"/>
      <c r="D69" s="109"/>
      <c r="E69" s="109"/>
      <c r="F69" s="109"/>
      <c r="G69" s="109"/>
      <c r="H69" s="110">
        <f t="shared" si="3"/>
        <v>21</v>
      </c>
      <c r="I69" s="110"/>
      <c r="J69" s="110"/>
      <c r="K69" s="111">
        <f t="shared" si="4"/>
        <v>1069</v>
      </c>
      <c r="L69" s="111"/>
      <c r="M69" s="112" t="str">
        <f t="shared" si="0"/>
        <v>MY</v>
      </c>
      <c r="N69" s="112"/>
      <c r="O69" s="112"/>
      <c r="P69" s="35">
        <f t="shared" si="2"/>
        <v>0</v>
      </c>
      <c r="R69" s="88"/>
      <c r="S69" s="88"/>
      <c r="T69" s="67"/>
    </row>
    <row r="70" spans="1:20" ht="25.15" customHeight="1" x14ac:dyDescent="0.25">
      <c r="A70" s="32">
        <f t="shared" si="1"/>
        <v>0</v>
      </c>
      <c r="B70" s="109" t="str">
        <f t="shared" si="1"/>
        <v>285469-5832</v>
      </c>
      <c r="C70" s="109"/>
      <c r="D70" s="109"/>
      <c r="E70" s="109"/>
      <c r="F70" s="109"/>
      <c r="G70" s="109"/>
      <c r="H70" s="110">
        <f t="shared" si="3"/>
        <v>13</v>
      </c>
      <c r="I70" s="110"/>
      <c r="J70" s="110"/>
      <c r="K70" s="111">
        <f t="shared" si="4"/>
        <v>754</v>
      </c>
      <c r="L70" s="111"/>
      <c r="M70" s="112" t="str">
        <f t="shared" si="0"/>
        <v>MY</v>
      </c>
      <c r="N70" s="112"/>
      <c r="O70" s="112"/>
      <c r="P70" s="35">
        <f t="shared" si="2"/>
        <v>0</v>
      </c>
      <c r="R70" s="88"/>
      <c r="S70" s="88"/>
      <c r="T70" s="67"/>
    </row>
    <row r="71" spans="1:20" ht="25.15" customHeight="1" x14ac:dyDescent="0.25">
      <c r="A71" s="32">
        <f t="shared" si="1"/>
        <v>0</v>
      </c>
      <c r="B71" s="109" t="str">
        <f t="shared" si="1"/>
        <v>306972-5828</v>
      </c>
      <c r="C71" s="109"/>
      <c r="D71" s="109"/>
      <c r="E71" s="109"/>
      <c r="F71" s="109"/>
      <c r="G71" s="109"/>
      <c r="H71" s="110">
        <f t="shared" si="3"/>
        <v>32</v>
      </c>
      <c r="I71" s="110"/>
      <c r="J71" s="110"/>
      <c r="K71" s="111">
        <f t="shared" si="4"/>
        <v>2603</v>
      </c>
      <c r="L71" s="111"/>
      <c r="M71" s="112" t="str">
        <f t="shared" si="0"/>
        <v>MX,EC</v>
      </c>
      <c r="N71" s="112"/>
      <c r="O71" s="112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09" t="str">
        <f t="shared" si="1"/>
        <v>290560-5832</v>
      </c>
      <c r="C72" s="109"/>
      <c r="D72" s="109"/>
      <c r="E72" s="109"/>
      <c r="F72" s="109"/>
      <c r="G72" s="109"/>
      <c r="H72" s="110">
        <f t="shared" si="3"/>
        <v>1</v>
      </c>
      <c r="I72" s="110"/>
      <c r="J72" s="110"/>
      <c r="K72" s="111">
        <f t="shared" si="4"/>
        <v>21</v>
      </c>
      <c r="L72" s="111"/>
      <c r="M72" s="112" t="str">
        <f t="shared" si="0"/>
        <v>NH</v>
      </c>
      <c r="N72" s="112"/>
      <c r="O72" s="112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09" t="str">
        <f t="shared" si="5"/>
        <v>285434-5832</v>
      </c>
      <c r="C73" s="109"/>
      <c r="D73" s="109"/>
      <c r="E73" s="109"/>
      <c r="F73" s="109"/>
      <c r="G73" s="109"/>
      <c r="H73" s="110">
        <f t="shared" si="3"/>
        <v>15</v>
      </c>
      <c r="I73" s="110"/>
      <c r="J73" s="110"/>
      <c r="K73" s="111">
        <f t="shared" si="4"/>
        <v>844</v>
      </c>
      <c r="L73" s="111"/>
      <c r="M73" s="112" t="str">
        <f t="shared" si="0"/>
        <v>MY</v>
      </c>
      <c r="N73" s="112"/>
      <c r="O73" s="112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09" t="str">
        <f t="shared" si="5"/>
        <v>285477-5832</v>
      </c>
      <c r="C74" s="109"/>
      <c r="D74" s="109"/>
      <c r="E74" s="109"/>
      <c r="F74" s="109"/>
      <c r="G74" s="109"/>
      <c r="H74" s="110">
        <f t="shared" si="3"/>
        <v>10</v>
      </c>
      <c r="I74" s="110"/>
      <c r="J74" s="110"/>
      <c r="K74" s="111">
        <f t="shared" si="4"/>
        <v>506</v>
      </c>
      <c r="L74" s="111"/>
      <c r="M74" s="112" t="str">
        <f t="shared" si="0"/>
        <v>MY</v>
      </c>
      <c r="N74" s="112"/>
      <c r="O74" s="112"/>
      <c r="P74" s="35">
        <f t="shared" si="2"/>
        <v>0</v>
      </c>
    </row>
    <row r="75" spans="1:20" ht="21.95" customHeight="1" thickBot="1" x14ac:dyDescent="0.3">
      <c r="A75" s="126" t="s">
        <v>17</v>
      </c>
      <c r="B75" s="127"/>
      <c r="C75" s="127"/>
      <c r="D75" s="127"/>
      <c r="E75" s="127"/>
      <c r="F75" s="127"/>
      <c r="G75" s="116"/>
      <c r="H75" s="128">
        <f>SUM(H55:J74)</f>
        <v>136</v>
      </c>
      <c r="I75" s="129"/>
      <c r="J75" s="130"/>
      <c r="K75" s="131">
        <f>SUM(K55:L74)</f>
        <v>7909</v>
      </c>
      <c r="L75" s="132"/>
      <c r="M75" s="133"/>
      <c r="N75" s="134"/>
      <c r="O75" s="135"/>
      <c r="P75" s="19"/>
    </row>
    <row r="77" spans="1:20" ht="31.9" customHeight="1" x14ac:dyDescent="0.25">
      <c r="A77" s="137" t="s">
        <v>22</v>
      </c>
      <c r="B77" s="138"/>
      <c r="C77" s="138"/>
      <c r="D77" s="139" t="str">
        <f>D37</f>
        <v>MD.ISMAEIL</v>
      </c>
      <c r="E77" s="139"/>
      <c r="F77" s="139"/>
      <c r="G77" s="138" t="s">
        <v>23</v>
      </c>
      <c r="H77" s="138"/>
      <c r="I77" s="138"/>
      <c r="J77" s="138"/>
      <c r="K77" s="138"/>
      <c r="L77" s="138"/>
      <c r="M77" s="140" t="str">
        <f>M37</f>
        <v>01766-040391</v>
      </c>
      <c r="N77" s="140"/>
      <c r="O77" s="140"/>
      <c r="P77" s="141"/>
    </row>
    <row r="78" spans="1:20" ht="31.9" customHeight="1" x14ac:dyDescent="0.25">
      <c r="A78" s="142" t="s">
        <v>24</v>
      </c>
      <c r="B78" s="143"/>
      <c r="C78" s="143"/>
      <c r="D78" s="144" t="str">
        <f>D38</f>
        <v>O138509</v>
      </c>
      <c r="E78" s="144"/>
      <c r="F78" s="144"/>
      <c r="G78" s="143" t="s">
        <v>25</v>
      </c>
      <c r="H78" s="143"/>
      <c r="I78" s="143"/>
      <c r="J78" s="143"/>
      <c r="K78" s="143"/>
      <c r="L78" s="143"/>
      <c r="M78" s="145" t="str">
        <f>M38</f>
        <v>D.M.TA 22-2381</v>
      </c>
      <c r="N78" s="145"/>
      <c r="O78" s="145"/>
      <c r="P78" s="146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36" t="s">
        <v>18</v>
      </c>
      <c r="B80" s="136"/>
      <c r="C80" s="136"/>
      <c r="D80" s="4"/>
      <c r="E80" s="4"/>
      <c r="F80" s="136" t="s">
        <v>19</v>
      </c>
      <c r="G80" s="136"/>
      <c r="H80" s="36"/>
      <c r="I80" s="36"/>
      <c r="J80" s="36"/>
      <c r="K80" s="4"/>
      <c r="L80" s="136" t="s">
        <v>20</v>
      </c>
      <c r="M80" s="136"/>
      <c r="N80" s="136"/>
      <c r="O80" s="136"/>
      <c r="P80" s="136"/>
    </row>
    <row r="81" spans="1:22" ht="8.25" customHeight="1" x14ac:dyDescent="0.25"/>
    <row r="82" spans="1:22" ht="36.75" customHeight="1" x14ac:dyDescent="0.25">
      <c r="A82" s="37"/>
      <c r="B82" s="37"/>
      <c r="C82" s="37"/>
      <c r="D82" s="38" t="s">
        <v>27</v>
      </c>
      <c r="E82" s="38"/>
      <c r="F82" s="38"/>
      <c r="G82" s="38"/>
      <c r="H82" s="38"/>
      <c r="I82" s="38"/>
      <c r="J82" s="38"/>
      <c r="K82" s="38"/>
      <c r="L82" s="38"/>
      <c r="M82" s="39" t="str">
        <f>M42</f>
        <v>FORM STR 03
REVISION NO 01</v>
      </c>
      <c r="N82" s="39"/>
      <c r="O82" s="39"/>
      <c r="P82" s="39"/>
      <c r="Q82" s="10"/>
    </row>
    <row r="83" spans="1:22" ht="22.15" customHeight="1" x14ac:dyDescent="0.25">
      <c r="A83" s="37"/>
      <c r="B83" s="37"/>
      <c r="C83" s="37"/>
      <c r="D83" s="38"/>
      <c r="E83" s="38"/>
      <c r="F83" s="38"/>
      <c r="G83" s="38"/>
      <c r="H83" s="38"/>
      <c r="I83" s="38"/>
      <c r="J83" s="38"/>
      <c r="K83" s="38"/>
      <c r="L83" s="38"/>
      <c r="M83" s="39"/>
      <c r="N83" s="39"/>
      <c r="O83" s="39"/>
      <c r="P83" s="39"/>
      <c r="Q83" s="10"/>
    </row>
    <row r="84" spans="1:22" ht="17.45" customHeight="1" x14ac:dyDescent="0.25">
      <c r="A84" s="40"/>
      <c r="B84" s="40"/>
      <c r="C84" s="40"/>
      <c r="D84" s="41" t="s">
        <v>21</v>
      </c>
      <c r="E84" s="41"/>
      <c r="F84" s="41"/>
      <c r="G84" s="41"/>
      <c r="H84" s="41"/>
      <c r="I84" s="41"/>
      <c r="J84" s="41"/>
      <c r="K84" s="41"/>
      <c r="L84" s="41"/>
      <c r="M84" s="11"/>
    </row>
    <row r="85" spans="1:22" ht="22.15" customHeight="1" thickBot="1" x14ac:dyDescent="0.35">
      <c r="A85" s="42"/>
      <c r="B85" s="42"/>
      <c r="C85" s="1"/>
      <c r="D85" s="43" t="s">
        <v>91</v>
      </c>
      <c r="E85" s="43"/>
      <c r="F85" s="43"/>
      <c r="G85" s="43"/>
      <c r="H85" s="43"/>
      <c r="I85" s="43"/>
      <c r="J85" s="43"/>
      <c r="K85" s="43"/>
      <c r="L85" s="43"/>
      <c r="M85" s="2"/>
      <c r="N85" s="37"/>
      <c r="O85" s="37"/>
      <c r="P85" s="37"/>
    </row>
    <row r="86" spans="1:22" ht="15.6" customHeight="1" thickBot="1" x14ac:dyDescent="0.35">
      <c r="A86" s="71" t="s">
        <v>9</v>
      </c>
      <c r="B86" s="72"/>
      <c r="C86" s="73" t="str">
        <f>C46</f>
        <v>O546</v>
      </c>
      <c r="D86" s="73"/>
      <c r="E86" s="73"/>
      <c r="F86" s="74"/>
      <c r="G86" s="2"/>
      <c r="H86" s="75" t="s">
        <v>4</v>
      </c>
      <c r="I86" s="76"/>
      <c r="J86" s="76"/>
      <c r="K86" s="8" t="s">
        <v>7</v>
      </c>
      <c r="L86" s="77" t="str">
        <f>L46</f>
        <v>JP 523807</v>
      </c>
      <c r="M86" s="77"/>
      <c r="N86" s="77"/>
      <c r="O86" s="77"/>
      <c r="P86" s="78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52" t="s">
        <v>5</v>
      </c>
      <c r="I87" s="53"/>
      <c r="J87" s="53"/>
      <c r="K87" s="9" t="s">
        <v>7</v>
      </c>
      <c r="L87" s="79">
        <f>L47</f>
        <v>45687</v>
      </c>
      <c r="M87" s="79"/>
      <c r="N87" s="79"/>
      <c r="O87" s="79"/>
      <c r="P87" s="80"/>
      <c r="R87" s="88"/>
      <c r="S87" s="88"/>
      <c r="T87" s="147"/>
      <c r="U87" s="26"/>
      <c r="V87" s="147"/>
    </row>
    <row r="88" spans="1:22" ht="18" customHeight="1" x14ac:dyDescent="0.3">
      <c r="A88" s="46" t="str">
        <f>A48</f>
        <v>KDS Logistics Ltd.
Ghoramara, Sonalchari, Sitakunda
Chattogram 4318, Bangladesh.</v>
      </c>
      <c r="B88" s="47"/>
      <c r="C88" s="47"/>
      <c r="D88" s="47"/>
      <c r="E88" s="47"/>
      <c r="F88" s="48"/>
      <c r="G88" s="2"/>
      <c r="H88" s="52" t="s">
        <v>8</v>
      </c>
      <c r="I88" s="53"/>
      <c r="J88" s="53"/>
      <c r="K88" s="9" t="s">
        <v>7</v>
      </c>
      <c r="L88" s="54" t="str">
        <f>L48</f>
        <v>SEA</v>
      </c>
      <c r="M88" s="54"/>
      <c r="N88" s="54"/>
      <c r="O88" s="54"/>
      <c r="P88" s="55"/>
      <c r="R88" s="88"/>
      <c r="S88" s="88"/>
      <c r="T88" s="148"/>
      <c r="U88" s="26"/>
      <c r="V88" s="148"/>
    </row>
    <row r="89" spans="1:22" ht="17.45" customHeight="1" x14ac:dyDescent="0.3">
      <c r="A89" s="46"/>
      <c r="B89" s="47"/>
      <c r="C89" s="47"/>
      <c r="D89" s="47"/>
      <c r="E89" s="47"/>
      <c r="F89" s="48"/>
      <c r="G89" s="2"/>
      <c r="H89" s="56" t="s">
        <v>6</v>
      </c>
      <c r="I89" s="57"/>
      <c r="J89" s="57"/>
      <c r="K89" s="62" t="s">
        <v>7</v>
      </c>
      <c r="L89" s="65" t="str">
        <f>L49</f>
        <v>M/S. Kabir &amp; Co.
1104DT Road West Madarbari,
Chattogram, Bangladesh.</v>
      </c>
      <c r="M89" s="65"/>
      <c r="N89" s="65"/>
      <c r="O89" s="65"/>
      <c r="P89" s="66"/>
      <c r="R89" s="88"/>
      <c r="S89" s="88"/>
      <c r="T89" s="148"/>
      <c r="U89" s="26"/>
      <c r="V89" s="148"/>
    </row>
    <row r="90" spans="1:22" ht="18" thickBot="1" x14ac:dyDescent="0.35">
      <c r="A90" s="49"/>
      <c r="B90" s="50"/>
      <c r="C90" s="50"/>
      <c r="D90" s="50"/>
      <c r="E90" s="50"/>
      <c r="F90" s="51"/>
      <c r="G90" s="2"/>
      <c r="H90" s="58"/>
      <c r="I90" s="59"/>
      <c r="J90" s="59"/>
      <c r="K90" s="63"/>
      <c r="L90" s="67"/>
      <c r="M90" s="67"/>
      <c r="N90" s="67"/>
      <c r="O90" s="67"/>
      <c r="P90" s="68"/>
      <c r="R90" s="88"/>
      <c r="S90" s="88"/>
      <c r="T90" s="147"/>
      <c r="U90" s="26"/>
      <c r="V90" s="147"/>
    </row>
    <row r="91" spans="1:22" ht="18" customHeight="1" thickBot="1" x14ac:dyDescent="0.35">
      <c r="A91" s="42"/>
      <c r="B91" s="42"/>
      <c r="C91" s="1"/>
      <c r="D91" s="2"/>
      <c r="E91" s="2"/>
      <c r="F91" s="2"/>
      <c r="G91" s="2"/>
      <c r="H91" s="60"/>
      <c r="I91" s="61"/>
      <c r="J91" s="61"/>
      <c r="K91" s="64"/>
      <c r="L91" s="69"/>
      <c r="M91" s="69"/>
      <c r="N91" s="69"/>
      <c r="O91" s="69"/>
      <c r="P91" s="70"/>
      <c r="R91" s="88"/>
      <c r="S91" s="88"/>
      <c r="T91" s="147"/>
      <c r="U91" s="26"/>
      <c r="V91" s="148"/>
    </row>
    <row r="92" spans="1:22" ht="16.149999999999999" customHeight="1" x14ac:dyDescent="0.25">
      <c r="A92" s="103" t="s">
        <v>12</v>
      </c>
      <c r="B92" s="104"/>
      <c r="C92" s="105" t="s">
        <v>0</v>
      </c>
      <c r="D92" s="105"/>
      <c r="E92" s="105"/>
      <c r="F92" s="105"/>
      <c r="G92" s="105"/>
      <c r="H92" s="81" t="s">
        <v>1</v>
      </c>
      <c r="I92" s="82"/>
      <c r="J92" s="82"/>
      <c r="K92" s="82"/>
      <c r="L92" s="83"/>
      <c r="M92" s="84" t="s">
        <v>16</v>
      </c>
      <c r="N92" s="85"/>
      <c r="O92" s="86"/>
      <c r="P92" s="93" t="s">
        <v>3</v>
      </c>
      <c r="R92" s="88"/>
      <c r="S92" s="88"/>
      <c r="T92" s="147"/>
      <c r="U92" s="26"/>
      <c r="V92" s="148"/>
    </row>
    <row r="93" spans="1:22" ht="16.149999999999999" customHeight="1" x14ac:dyDescent="0.25">
      <c r="A93" s="3" t="s">
        <v>13</v>
      </c>
      <c r="B93" s="33">
        <f>B53</f>
        <v>1</v>
      </c>
      <c r="C93" s="96" t="str">
        <f>C53</f>
        <v>Delivery of Readymade Garments</v>
      </c>
      <c r="D93" s="96"/>
      <c r="E93" s="96"/>
      <c r="F93" s="96"/>
      <c r="G93" s="96"/>
      <c r="H93" s="97" t="s">
        <v>2</v>
      </c>
      <c r="I93" s="98"/>
      <c r="J93" s="99"/>
      <c r="K93" s="97" t="s">
        <v>15</v>
      </c>
      <c r="L93" s="99"/>
      <c r="M93" s="87"/>
      <c r="N93" s="88"/>
      <c r="O93" s="89"/>
      <c r="P93" s="94"/>
      <c r="R93" s="88"/>
      <c r="S93" s="88"/>
      <c r="T93" s="147"/>
      <c r="V93" s="147"/>
    </row>
    <row r="94" spans="1:22" ht="16.149999999999999" customHeight="1" thickBot="1" x14ac:dyDescent="0.3">
      <c r="A94" s="113" t="s">
        <v>11</v>
      </c>
      <c r="B94" s="114"/>
      <c r="C94" s="115" t="str">
        <f>C54</f>
        <v>H &amp; M</v>
      </c>
      <c r="D94" s="116"/>
      <c r="E94" s="117" t="s">
        <v>88</v>
      </c>
      <c r="F94" s="118"/>
      <c r="G94" s="114"/>
      <c r="H94" s="100"/>
      <c r="I94" s="101"/>
      <c r="J94" s="102"/>
      <c r="K94" s="100"/>
      <c r="L94" s="102"/>
      <c r="M94" s="90"/>
      <c r="N94" s="91"/>
      <c r="O94" s="92"/>
      <c r="P94" s="95"/>
      <c r="R94" s="88"/>
      <c r="S94" s="88"/>
      <c r="T94" s="147"/>
      <c r="V94" s="148"/>
    </row>
    <row r="95" spans="1:22" ht="25.15" customHeight="1" x14ac:dyDescent="0.25">
      <c r="A95" s="31">
        <f>A55</f>
        <v>0</v>
      </c>
      <c r="B95" s="119" t="str">
        <f>B55</f>
        <v>300726-5832</v>
      </c>
      <c r="C95" s="119"/>
      <c r="D95" s="119"/>
      <c r="E95" s="119"/>
      <c r="F95" s="119"/>
      <c r="G95" s="119"/>
      <c r="H95" s="120">
        <f>H55</f>
        <v>1</v>
      </c>
      <c r="I95" s="121"/>
      <c r="J95" s="122"/>
      <c r="K95" s="123">
        <f>K55</f>
        <v>67</v>
      </c>
      <c r="L95" s="124"/>
      <c r="M95" s="106" t="str">
        <f>M55</f>
        <v>NH</v>
      </c>
      <c r="N95" s="107"/>
      <c r="O95" s="108"/>
      <c r="P95" s="34">
        <f>P55</f>
        <v>0</v>
      </c>
      <c r="R95" s="88"/>
      <c r="S95" s="88"/>
      <c r="T95" s="147"/>
      <c r="V95" s="148"/>
    </row>
    <row r="96" spans="1:22" ht="25.15" customHeight="1" x14ac:dyDescent="0.25">
      <c r="A96" s="32">
        <f>A56</f>
        <v>0</v>
      </c>
      <c r="B96" s="109" t="str">
        <f>B56</f>
        <v>300624-5832</v>
      </c>
      <c r="C96" s="109"/>
      <c r="D96" s="109"/>
      <c r="E96" s="109"/>
      <c r="F96" s="109"/>
      <c r="G96" s="109"/>
      <c r="H96" s="110">
        <f>H56</f>
        <v>3</v>
      </c>
      <c r="I96" s="110"/>
      <c r="J96" s="110"/>
      <c r="K96" s="111">
        <f>K56</f>
        <v>117</v>
      </c>
      <c r="L96" s="111"/>
      <c r="M96" s="112" t="str">
        <f>M56</f>
        <v>NH</v>
      </c>
      <c r="N96" s="112"/>
      <c r="O96" s="112"/>
      <c r="P96" s="35">
        <f>P56</f>
        <v>0</v>
      </c>
      <c r="R96" s="88"/>
      <c r="S96" s="88"/>
      <c r="T96" s="67"/>
      <c r="V96" s="147"/>
    </row>
    <row r="97" spans="1:22" ht="25.15" customHeight="1" x14ac:dyDescent="0.25">
      <c r="A97" s="32">
        <f t="shared" ref="A97:B112" si="6">A57</f>
        <v>0</v>
      </c>
      <c r="B97" s="109" t="str">
        <f t="shared" si="6"/>
        <v>300625-5832</v>
      </c>
      <c r="C97" s="109"/>
      <c r="D97" s="109"/>
      <c r="E97" s="109"/>
      <c r="F97" s="109"/>
      <c r="G97" s="109"/>
      <c r="H97" s="110">
        <f>H57</f>
        <v>1</v>
      </c>
      <c r="I97" s="110"/>
      <c r="J97" s="110"/>
      <c r="K97" s="111">
        <f>K57</f>
        <v>44</v>
      </c>
      <c r="L97" s="111"/>
      <c r="M97" s="112" t="str">
        <f t="shared" ref="M97:M114" si="7">M57</f>
        <v>NH</v>
      </c>
      <c r="N97" s="112"/>
      <c r="O97" s="112"/>
      <c r="P97" s="35">
        <f t="shared" ref="P97:P114" si="8">P57</f>
        <v>0</v>
      </c>
      <c r="R97" s="88"/>
      <c r="S97" s="88"/>
      <c r="T97" s="67"/>
      <c r="V97" s="148"/>
    </row>
    <row r="98" spans="1:22" ht="25.15" customHeight="1" x14ac:dyDescent="0.25">
      <c r="A98" s="32">
        <f t="shared" si="6"/>
        <v>0</v>
      </c>
      <c r="B98" s="109" t="str">
        <f t="shared" si="6"/>
        <v>296984-7272</v>
      </c>
      <c r="C98" s="109"/>
      <c r="D98" s="109"/>
      <c r="E98" s="109"/>
      <c r="F98" s="109"/>
      <c r="G98" s="109"/>
      <c r="H98" s="110">
        <f t="shared" ref="H98:H114" si="9">H58</f>
        <v>1</v>
      </c>
      <c r="I98" s="110"/>
      <c r="J98" s="110"/>
      <c r="K98" s="111">
        <f t="shared" ref="K98:K114" si="10">K58</f>
        <v>51</v>
      </c>
      <c r="L98" s="111"/>
      <c r="M98" s="112" t="str">
        <f t="shared" si="7"/>
        <v>NH</v>
      </c>
      <c r="N98" s="112"/>
      <c r="O98" s="112"/>
      <c r="P98" s="35">
        <f t="shared" si="8"/>
        <v>0</v>
      </c>
      <c r="R98" s="88"/>
      <c r="S98" s="88"/>
      <c r="T98" s="67"/>
      <c r="V98" s="148"/>
    </row>
    <row r="99" spans="1:22" ht="25.15" customHeight="1" x14ac:dyDescent="0.25">
      <c r="A99" s="32">
        <f t="shared" si="6"/>
        <v>0</v>
      </c>
      <c r="B99" s="109" t="str">
        <f t="shared" si="6"/>
        <v>302714-5832</v>
      </c>
      <c r="C99" s="109"/>
      <c r="D99" s="109"/>
      <c r="E99" s="109"/>
      <c r="F99" s="109"/>
      <c r="G99" s="109"/>
      <c r="H99" s="110">
        <f t="shared" si="9"/>
        <v>1</v>
      </c>
      <c r="I99" s="110"/>
      <c r="J99" s="110"/>
      <c r="K99" s="111">
        <f t="shared" si="10"/>
        <v>55</v>
      </c>
      <c r="L99" s="111"/>
      <c r="M99" s="112" t="str">
        <f t="shared" si="7"/>
        <v>NH</v>
      </c>
      <c r="N99" s="112"/>
      <c r="O99" s="112"/>
      <c r="P99" s="35">
        <f t="shared" si="8"/>
        <v>0</v>
      </c>
      <c r="R99" s="88"/>
      <c r="S99" s="88"/>
      <c r="T99" s="67"/>
      <c r="V99" s="147"/>
    </row>
    <row r="100" spans="1:22" ht="25.15" customHeight="1" x14ac:dyDescent="0.25">
      <c r="A100" s="32">
        <f t="shared" si="6"/>
        <v>0</v>
      </c>
      <c r="B100" s="109" t="str">
        <f t="shared" si="6"/>
        <v>328562-7952</v>
      </c>
      <c r="C100" s="109"/>
      <c r="D100" s="109"/>
      <c r="E100" s="109"/>
      <c r="F100" s="109"/>
      <c r="G100" s="109"/>
      <c r="H100" s="110">
        <f t="shared" si="9"/>
        <v>9</v>
      </c>
      <c r="I100" s="110"/>
      <c r="J100" s="110"/>
      <c r="K100" s="111">
        <f t="shared" si="10"/>
        <v>483</v>
      </c>
      <c r="L100" s="111"/>
      <c r="M100" s="112" t="str">
        <f t="shared" si="7"/>
        <v>LD</v>
      </c>
      <c r="N100" s="112"/>
      <c r="O100" s="112"/>
      <c r="P100" s="35">
        <f t="shared" si="8"/>
        <v>0</v>
      </c>
      <c r="R100" s="88"/>
      <c r="S100" s="88"/>
      <c r="T100" s="67"/>
      <c r="V100" s="148"/>
    </row>
    <row r="101" spans="1:22" ht="25.15" customHeight="1" x14ac:dyDescent="0.25">
      <c r="A101" s="32">
        <f t="shared" si="6"/>
        <v>0</v>
      </c>
      <c r="B101" s="109" t="str">
        <f t="shared" si="6"/>
        <v>283988-5828</v>
      </c>
      <c r="C101" s="109"/>
      <c r="D101" s="109"/>
      <c r="E101" s="109"/>
      <c r="F101" s="109"/>
      <c r="G101" s="109"/>
      <c r="H101" s="110">
        <f t="shared" si="9"/>
        <v>1</v>
      </c>
      <c r="I101" s="110"/>
      <c r="J101" s="110"/>
      <c r="K101" s="111">
        <f t="shared" si="10"/>
        <v>13</v>
      </c>
      <c r="L101" s="111"/>
      <c r="M101" s="112" t="str">
        <f t="shared" si="7"/>
        <v>NH</v>
      </c>
      <c r="N101" s="112"/>
      <c r="O101" s="112"/>
      <c r="P101" s="35">
        <f t="shared" si="8"/>
        <v>0</v>
      </c>
      <c r="R101" s="88"/>
      <c r="S101" s="88"/>
      <c r="T101" s="67"/>
      <c r="V101" s="148"/>
    </row>
    <row r="102" spans="1:22" ht="25.15" customHeight="1" x14ac:dyDescent="0.25">
      <c r="A102" s="32">
        <f t="shared" si="6"/>
        <v>0</v>
      </c>
      <c r="B102" s="109" t="str">
        <f t="shared" si="6"/>
        <v>284072-5828</v>
      </c>
      <c r="C102" s="109"/>
      <c r="D102" s="109"/>
      <c r="E102" s="109"/>
      <c r="F102" s="109"/>
      <c r="G102" s="109"/>
      <c r="H102" s="110">
        <f t="shared" si="9"/>
        <v>1</v>
      </c>
      <c r="I102" s="110"/>
      <c r="J102" s="110"/>
      <c r="K102" s="111">
        <f t="shared" si="10"/>
        <v>58</v>
      </c>
      <c r="L102" s="111"/>
      <c r="M102" s="112" t="str">
        <f t="shared" si="7"/>
        <v>NH</v>
      </c>
      <c r="N102" s="112"/>
      <c r="O102" s="112"/>
      <c r="P102" s="35">
        <f t="shared" si="8"/>
        <v>0</v>
      </c>
      <c r="R102" s="88"/>
      <c r="S102" s="88"/>
      <c r="T102" s="67"/>
    </row>
    <row r="103" spans="1:22" ht="25.15" customHeight="1" x14ac:dyDescent="0.25">
      <c r="A103" s="32">
        <f t="shared" si="6"/>
        <v>0</v>
      </c>
      <c r="B103" s="109" t="str">
        <f t="shared" si="6"/>
        <v>321334-5828</v>
      </c>
      <c r="C103" s="109"/>
      <c r="D103" s="109"/>
      <c r="E103" s="109"/>
      <c r="F103" s="109"/>
      <c r="G103" s="109"/>
      <c r="H103" s="110">
        <f t="shared" si="9"/>
        <v>5</v>
      </c>
      <c r="I103" s="110"/>
      <c r="J103" s="110"/>
      <c r="K103" s="111">
        <f t="shared" si="10"/>
        <v>223</v>
      </c>
      <c r="L103" s="111"/>
      <c r="M103" s="112" t="str">
        <f t="shared" si="7"/>
        <v>LD</v>
      </c>
      <c r="N103" s="112"/>
      <c r="O103" s="112"/>
      <c r="P103" s="35">
        <f t="shared" si="8"/>
        <v>0</v>
      </c>
      <c r="R103" s="88"/>
      <c r="S103" s="88"/>
      <c r="T103" s="67"/>
    </row>
    <row r="104" spans="1:22" ht="25.15" customHeight="1" x14ac:dyDescent="0.25">
      <c r="A104" s="32">
        <f t="shared" si="6"/>
        <v>0</v>
      </c>
      <c r="B104" s="109" t="str">
        <f t="shared" si="6"/>
        <v>311047-5828</v>
      </c>
      <c r="C104" s="109"/>
      <c r="D104" s="109"/>
      <c r="E104" s="109"/>
      <c r="F104" s="109"/>
      <c r="G104" s="109"/>
      <c r="H104" s="110">
        <f t="shared" si="9"/>
        <v>4</v>
      </c>
      <c r="I104" s="110"/>
      <c r="J104" s="110"/>
      <c r="K104" s="111">
        <f t="shared" si="10"/>
        <v>186</v>
      </c>
      <c r="L104" s="111"/>
      <c r="M104" s="112" t="str">
        <f t="shared" si="7"/>
        <v>LD</v>
      </c>
      <c r="N104" s="112"/>
      <c r="O104" s="112"/>
      <c r="P104" s="35">
        <f t="shared" si="8"/>
        <v>0</v>
      </c>
      <c r="R104" s="88"/>
      <c r="S104" s="88"/>
      <c r="T104" s="67"/>
    </row>
    <row r="105" spans="1:22" ht="25.15" customHeight="1" x14ac:dyDescent="0.25">
      <c r="A105" s="32">
        <f t="shared" si="6"/>
        <v>0</v>
      </c>
      <c r="B105" s="109" t="str">
        <f t="shared" si="6"/>
        <v>272315-5828</v>
      </c>
      <c r="C105" s="109"/>
      <c r="D105" s="109"/>
      <c r="E105" s="109"/>
      <c r="F105" s="109"/>
      <c r="G105" s="109"/>
      <c r="H105" s="110">
        <f t="shared" si="9"/>
        <v>3</v>
      </c>
      <c r="I105" s="110"/>
      <c r="J105" s="110"/>
      <c r="K105" s="111">
        <f t="shared" si="10"/>
        <v>126</v>
      </c>
      <c r="L105" s="111"/>
      <c r="M105" s="112" t="str">
        <f t="shared" si="7"/>
        <v>MY</v>
      </c>
      <c r="N105" s="112"/>
      <c r="O105" s="112"/>
      <c r="P105" s="35">
        <f t="shared" si="8"/>
        <v>0</v>
      </c>
      <c r="R105" s="88"/>
      <c r="S105" s="88"/>
      <c r="T105" s="67"/>
    </row>
    <row r="106" spans="1:22" ht="25.15" customHeight="1" x14ac:dyDescent="0.25">
      <c r="A106" s="32">
        <f t="shared" si="6"/>
        <v>0</v>
      </c>
      <c r="B106" s="109" t="str">
        <f t="shared" si="6"/>
        <v>300626-5832</v>
      </c>
      <c r="C106" s="109"/>
      <c r="D106" s="109"/>
      <c r="E106" s="109"/>
      <c r="F106" s="109"/>
      <c r="G106" s="109"/>
      <c r="H106" s="110">
        <f t="shared" si="9"/>
        <v>1</v>
      </c>
      <c r="I106" s="110"/>
      <c r="J106" s="110"/>
      <c r="K106" s="111">
        <f t="shared" si="10"/>
        <v>37</v>
      </c>
      <c r="L106" s="111"/>
      <c r="M106" s="112" t="str">
        <f t="shared" si="7"/>
        <v>NH</v>
      </c>
      <c r="N106" s="112"/>
      <c r="O106" s="112"/>
      <c r="P106" s="35">
        <f t="shared" si="8"/>
        <v>0</v>
      </c>
      <c r="R106" s="88"/>
      <c r="S106" s="88"/>
      <c r="T106" s="67"/>
    </row>
    <row r="107" spans="1:22" ht="25.15" customHeight="1" x14ac:dyDescent="0.25">
      <c r="A107" s="32">
        <f t="shared" si="6"/>
        <v>0</v>
      </c>
      <c r="B107" s="109" t="str">
        <f t="shared" si="6"/>
        <v>300623-5832</v>
      </c>
      <c r="C107" s="109"/>
      <c r="D107" s="109"/>
      <c r="E107" s="109"/>
      <c r="F107" s="109"/>
      <c r="G107" s="109"/>
      <c r="H107" s="110">
        <f t="shared" si="9"/>
        <v>2</v>
      </c>
      <c r="I107" s="110"/>
      <c r="J107" s="110"/>
      <c r="K107" s="111">
        <f t="shared" si="10"/>
        <v>92</v>
      </c>
      <c r="L107" s="111"/>
      <c r="M107" s="112" t="str">
        <f t="shared" si="7"/>
        <v>NH</v>
      </c>
      <c r="N107" s="112"/>
      <c r="O107" s="112"/>
      <c r="P107" s="35">
        <f t="shared" si="8"/>
        <v>0</v>
      </c>
      <c r="R107" s="88"/>
      <c r="S107" s="88"/>
      <c r="T107" s="67"/>
    </row>
    <row r="108" spans="1:22" ht="25.15" customHeight="1" x14ac:dyDescent="0.25">
      <c r="A108" s="32">
        <f t="shared" si="6"/>
        <v>0</v>
      </c>
      <c r="B108" s="109" t="str">
        <f t="shared" si="6"/>
        <v>266270-5828</v>
      </c>
      <c r="C108" s="109"/>
      <c r="D108" s="109"/>
      <c r="E108" s="109"/>
      <c r="F108" s="109"/>
      <c r="G108" s="109"/>
      <c r="H108" s="110">
        <f t="shared" si="9"/>
        <v>11</v>
      </c>
      <c r="I108" s="110"/>
      <c r="J108" s="110"/>
      <c r="K108" s="111">
        <f t="shared" si="10"/>
        <v>560</v>
      </c>
      <c r="L108" s="111"/>
      <c r="M108" s="112" t="str">
        <f t="shared" si="7"/>
        <v>MY</v>
      </c>
      <c r="N108" s="112"/>
      <c r="O108" s="112"/>
      <c r="P108" s="35">
        <f t="shared" si="8"/>
        <v>0</v>
      </c>
      <c r="R108" s="88"/>
      <c r="S108" s="88"/>
      <c r="T108" s="67"/>
    </row>
    <row r="109" spans="1:22" ht="25.15" customHeight="1" x14ac:dyDescent="0.25">
      <c r="A109" s="32">
        <f t="shared" si="6"/>
        <v>0</v>
      </c>
      <c r="B109" s="109" t="str">
        <f t="shared" si="6"/>
        <v>267089-5828</v>
      </c>
      <c r="C109" s="109"/>
      <c r="D109" s="109"/>
      <c r="E109" s="109"/>
      <c r="F109" s="109"/>
      <c r="G109" s="109"/>
      <c r="H109" s="110">
        <f t="shared" si="9"/>
        <v>21</v>
      </c>
      <c r="I109" s="110"/>
      <c r="J109" s="110"/>
      <c r="K109" s="111">
        <f t="shared" si="10"/>
        <v>1069</v>
      </c>
      <c r="L109" s="111"/>
      <c r="M109" s="112" t="str">
        <f t="shared" si="7"/>
        <v>MY</v>
      </c>
      <c r="N109" s="112"/>
      <c r="O109" s="112"/>
      <c r="P109" s="35">
        <f t="shared" si="8"/>
        <v>0</v>
      </c>
      <c r="R109" s="88"/>
      <c r="S109" s="88"/>
      <c r="T109" s="67"/>
    </row>
    <row r="110" spans="1:22" ht="25.15" customHeight="1" x14ac:dyDescent="0.25">
      <c r="A110" s="32">
        <f t="shared" si="6"/>
        <v>0</v>
      </c>
      <c r="B110" s="109" t="str">
        <f t="shared" si="6"/>
        <v>285469-5832</v>
      </c>
      <c r="C110" s="109"/>
      <c r="D110" s="109"/>
      <c r="E110" s="109"/>
      <c r="F110" s="109"/>
      <c r="G110" s="109"/>
      <c r="H110" s="110">
        <f t="shared" si="9"/>
        <v>13</v>
      </c>
      <c r="I110" s="110"/>
      <c r="J110" s="110"/>
      <c r="K110" s="111">
        <f t="shared" si="10"/>
        <v>754</v>
      </c>
      <c r="L110" s="111"/>
      <c r="M110" s="112" t="str">
        <f t="shared" si="7"/>
        <v>MY</v>
      </c>
      <c r="N110" s="112"/>
      <c r="O110" s="112"/>
      <c r="P110" s="35">
        <f t="shared" si="8"/>
        <v>0</v>
      </c>
      <c r="R110" s="88"/>
      <c r="S110" s="88"/>
      <c r="T110" s="67"/>
    </row>
    <row r="111" spans="1:22" ht="25.15" customHeight="1" x14ac:dyDescent="0.25">
      <c r="A111" s="32">
        <f t="shared" si="6"/>
        <v>0</v>
      </c>
      <c r="B111" s="109" t="str">
        <f t="shared" si="6"/>
        <v>306972-5828</v>
      </c>
      <c r="C111" s="109"/>
      <c r="D111" s="109"/>
      <c r="E111" s="109"/>
      <c r="F111" s="109"/>
      <c r="G111" s="109"/>
      <c r="H111" s="110">
        <f t="shared" si="9"/>
        <v>32</v>
      </c>
      <c r="I111" s="110"/>
      <c r="J111" s="110"/>
      <c r="K111" s="111">
        <f t="shared" si="10"/>
        <v>2603</v>
      </c>
      <c r="L111" s="111"/>
      <c r="M111" s="112" t="str">
        <f t="shared" si="7"/>
        <v>MX,EC</v>
      </c>
      <c r="N111" s="112"/>
      <c r="O111" s="112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09" t="str">
        <f t="shared" si="6"/>
        <v>290560-5832</v>
      </c>
      <c r="C112" s="109"/>
      <c r="D112" s="109"/>
      <c r="E112" s="109"/>
      <c r="F112" s="109"/>
      <c r="G112" s="109"/>
      <c r="H112" s="110">
        <f t="shared" si="9"/>
        <v>1</v>
      </c>
      <c r="I112" s="110"/>
      <c r="J112" s="110"/>
      <c r="K112" s="111">
        <f t="shared" si="10"/>
        <v>21</v>
      </c>
      <c r="L112" s="111"/>
      <c r="M112" s="112" t="str">
        <f t="shared" si="7"/>
        <v>NH</v>
      </c>
      <c r="N112" s="112"/>
      <c r="O112" s="112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09" t="str">
        <f t="shared" si="11"/>
        <v>285434-5832</v>
      </c>
      <c r="C113" s="109"/>
      <c r="D113" s="109"/>
      <c r="E113" s="109"/>
      <c r="F113" s="109"/>
      <c r="G113" s="109"/>
      <c r="H113" s="110">
        <f t="shared" si="9"/>
        <v>15</v>
      </c>
      <c r="I113" s="110"/>
      <c r="J113" s="110"/>
      <c r="K113" s="111">
        <f t="shared" si="10"/>
        <v>844</v>
      </c>
      <c r="L113" s="111"/>
      <c r="M113" s="112" t="str">
        <f t="shared" si="7"/>
        <v>MY</v>
      </c>
      <c r="N113" s="112"/>
      <c r="O113" s="112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09" t="str">
        <f t="shared" si="11"/>
        <v>285477-5832</v>
      </c>
      <c r="C114" s="109"/>
      <c r="D114" s="109"/>
      <c r="E114" s="109"/>
      <c r="F114" s="109"/>
      <c r="G114" s="109"/>
      <c r="H114" s="110">
        <f t="shared" si="9"/>
        <v>10</v>
      </c>
      <c r="I114" s="110"/>
      <c r="J114" s="110"/>
      <c r="K114" s="111">
        <f t="shared" si="10"/>
        <v>506</v>
      </c>
      <c r="L114" s="111"/>
      <c r="M114" s="112" t="str">
        <f t="shared" si="7"/>
        <v>MY</v>
      </c>
      <c r="N114" s="112"/>
      <c r="O114" s="112"/>
      <c r="P114" s="35">
        <f t="shared" si="8"/>
        <v>0</v>
      </c>
    </row>
    <row r="115" spans="1:22" ht="21.95" customHeight="1" thickBot="1" x14ac:dyDescent="0.3">
      <c r="A115" s="126" t="s">
        <v>17</v>
      </c>
      <c r="B115" s="127"/>
      <c r="C115" s="127"/>
      <c r="D115" s="127"/>
      <c r="E115" s="127"/>
      <c r="F115" s="127"/>
      <c r="G115" s="116"/>
      <c r="H115" s="128">
        <f>SUM(H95:J114)</f>
        <v>136</v>
      </c>
      <c r="I115" s="129"/>
      <c r="J115" s="130"/>
      <c r="K115" s="131">
        <f>SUM(K95:L114)</f>
        <v>7909</v>
      </c>
      <c r="L115" s="132"/>
      <c r="M115" s="133"/>
      <c r="N115" s="134"/>
      <c r="O115" s="135"/>
      <c r="P115" s="19"/>
    </row>
    <row r="117" spans="1:22" ht="31.9" customHeight="1" x14ac:dyDescent="0.25">
      <c r="A117" s="137" t="s">
        <v>22</v>
      </c>
      <c r="B117" s="138"/>
      <c r="C117" s="138"/>
      <c r="D117" s="139" t="str">
        <f>D77</f>
        <v>MD.ISMAEIL</v>
      </c>
      <c r="E117" s="139"/>
      <c r="F117" s="139"/>
      <c r="G117" s="138" t="s">
        <v>23</v>
      </c>
      <c r="H117" s="138"/>
      <c r="I117" s="138"/>
      <c r="J117" s="138"/>
      <c r="K117" s="138"/>
      <c r="L117" s="138"/>
      <c r="M117" s="140" t="str">
        <f>M77</f>
        <v>01766-040391</v>
      </c>
      <c r="N117" s="140"/>
      <c r="O117" s="140"/>
      <c r="P117" s="141"/>
    </row>
    <row r="118" spans="1:22" ht="31.9" customHeight="1" x14ac:dyDescent="0.25">
      <c r="A118" s="142" t="s">
        <v>24</v>
      </c>
      <c r="B118" s="143"/>
      <c r="C118" s="143"/>
      <c r="D118" s="144" t="str">
        <f>D78</f>
        <v>O138509</v>
      </c>
      <c r="E118" s="144"/>
      <c r="F118" s="144"/>
      <c r="G118" s="143" t="s">
        <v>25</v>
      </c>
      <c r="H118" s="143"/>
      <c r="I118" s="143"/>
      <c r="J118" s="143"/>
      <c r="K118" s="143"/>
      <c r="L118" s="143"/>
      <c r="M118" s="145" t="str">
        <f>M78</f>
        <v>D.M.TA 22-2381</v>
      </c>
      <c r="N118" s="145"/>
      <c r="O118" s="145"/>
      <c r="P118" s="146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36" t="s">
        <v>18</v>
      </c>
      <c r="B120" s="136"/>
      <c r="C120" s="136"/>
      <c r="D120" s="4"/>
      <c r="E120" s="4"/>
      <c r="F120" s="136" t="s">
        <v>19</v>
      </c>
      <c r="G120" s="136"/>
      <c r="H120" s="36"/>
      <c r="I120" s="36"/>
      <c r="J120" s="36"/>
      <c r="K120" s="4"/>
      <c r="L120" s="136" t="s">
        <v>20</v>
      </c>
      <c r="M120" s="136"/>
      <c r="N120" s="136"/>
      <c r="O120" s="136"/>
      <c r="P120" s="136"/>
    </row>
    <row r="121" spans="1:22" ht="8.25" customHeight="1" x14ac:dyDescent="0.25"/>
    <row r="122" spans="1:22" ht="36.75" customHeight="1" x14ac:dyDescent="0.25">
      <c r="A122" s="37"/>
      <c r="B122" s="37"/>
      <c r="C122" s="37"/>
      <c r="D122" s="38" t="s">
        <v>27</v>
      </c>
      <c r="E122" s="38"/>
      <c r="F122" s="38"/>
      <c r="G122" s="38"/>
      <c r="H122" s="38"/>
      <c r="I122" s="38"/>
      <c r="J122" s="38"/>
      <c r="K122" s="38"/>
      <c r="L122" s="38"/>
      <c r="M122" s="39" t="str">
        <f>M82</f>
        <v>FORM STR 03
REVISION NO 01</v>
      </c>
      <c r="N122" s="39"/>
      <c r="O122" s="39"/>
      <c r="P122" s="39"/>
      <c r="Q122" s="10"/>
    </row>
    <row r="123" spans="1:22" ht="22.15" customHeight="1" x14ac:dyDescent="0.25">
      <c r="A123" s="37"/>
      <c r="B123" s="37"/>
      <c r="C123" s="37"/>
      <c r="D123" s="38"/>
      <c r="E123" s="38"/>
      <c r="F123" s="38"/>
      <c r="G123" s="38"/>
      <c r="H123" s="38"/>
      <c r="I123" s="38"/>
      <c r="J123" s="38"/>
      <c r="K123" s="38"/>
      <c r="L123" s="38"/>
      <c r="M123" s="39"/>
      <c r="N123" s="39"/>
      <c r="O123" s="39"/>
      <c r="P123" s="39"/>
      <c r="Q123" s="10"/>
    </row>
    <row r="124" spans="1:22" ht="17.45" customHeight="1" x14ac:dyDescent="0.25">
      <c r="A124" s="40"/>
      <c r="B124" s="40"/>
      <c r="C124" s="40"/>
      <c r="D124" s="41" t="s">
        <v>21</v>
      </c>
      <c r="E124" s="41"/>
      <c r="F124" s="41"/>
      <c r="G124" s="41"/>
      <c r="H124" s="41"/>
      <c r="I124" s="41"/>
      <c r="J124" s="41"/>
      <c r="K124" s="41"/>
      <c r="L124" s="41"/>
      <c r="M124" s="11"/>
    </row>
    <row r="125" spans="1:22" ht="22.15" customHeight="1" thickBot="1" x14ac:dyDescent="0.35">
      <c r="A125" s="42"/>
      <c r="B125" s="42"/>
      <c r="C125" s="1"/>
      <c r="D125" s="43" t="s">
        <v>92</v>
      </c>
      <c r="E125" s="43"/>
      <c r="F125" s="43"/>
      <c r="G125" s="43"/>
      <c r="H125" s="43"/>
      <c r="I125" s="43"/>
      <c r="J125" s="43"/>
      <c r="K125" s="43"/>
      <c r="L125" s="43"/>
      <c r="M125" s="2"/>
      <c r="N125" s="37"/>
      <c r="O125" s="37"/>
      <c r="P125" s="37"/>
    </row>
    <row r="126" spans="1:22" ht="15.6" customHeight="1" thickBot="1" x14ac:dyDescent="0.35">
      <c r="A126" s="71" t="s">
        <v>9</v>
      </c>
      <c r="B126" s="72"/>
      <c r="C126" s="73" t="str">
        <f>C86</f>
        <v>O546</v>
      </c>
      <c r="D126" s="73"/>
      <c r="E126" s="73"/>
      <c r="F126" s="74"/>
      <c r="G126" s="2"/>
      <c r="H126" s="75" t="s">
        <v>4</v>
      </c>
      <c r="I126" s="76"/>
      <c r="J126" s="76"/>
      <c r="K126" s="8" t="s">
        <v>7</v>
      </c>
      <c r="L126" s="77" t="str">
        <f>L86</f>
        <v>JP 523807</v>
      </c>
      <c r="M126" s="77"/>
      <c r="N126" s="77"/>
      <c r="O126" s="77"/>
      <c r="P126" s="78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52" t="s">
        <v>5</v>
      </c>
      <c r="I127" s="53"/>
      <c r="J127" s="53"/>
      <c r="K127" s="9" t="s">
        <v>7</v>
      </c>
      <c r="L127" s="79">
        <f>L87</f>
        <v>45687</v>
      </c>
      <c r="M127" s="79"/>
      <c r="N127" s="79"/>
      <c r="O127" s="79"/>
      <c r="P127" s="80"/>
      <c r="R127" s="88"/>
      <c r="S127" s="88"/>
      <c r="T127" s="147"/>
      <c r="U127" s="26"/>
      <c r="V127" s="147"/>
    </row>
    <row r="128" spans="1:22" ht="18" customHeight="1" x14ac:dyDescent="0.3">
      <c r="A128" s="46" t="str">
        <f>A88</f>
        <v>KDS Logistics Ltd.
Ghoramara, Sonalchari, Sitakunda
Chattogram 4318, Bangladesh.</v>
      </c>
      <c r="B128" s="47"/>
      <c r="C128" s="47"/>
      <c r="D128" s="47"/>
      <c r="E128" s="47"/>
      <c r="F128" s="48"/>
      <c r="G128" s="2"/>
      <c r="H128" s="52" t="s">
        <v>8</v>
      </c>
      <c r="I128" s="53"/>
      <c r="J128" s="53"/>
      <c r="K128" s="9" t="s">
        <v>7</v>
      </c>
      <c r="L128" s="54" t="str">
        <f>L88</f>
        <v>SEA</v>
      </c>
      <c r="M128" s="54"/>
      <c r="N128" s="54"/>
      <c r="O128" s="54"/>
      <c r="P128" s="55"/>
      <c r="R128" s="88"/>
      <c r="S128" s="88"/>
      <c r="T128" s="148"/>
      <c r="U128" s="26"/>
      <c r="V128" s="148"/>
    </row>
    <row r="129" spans="1:22" ht="17.25" x14ac:dyDescent="0.3">
      <c r="A129" s="46"/>
      <c r="B129" s="47"/>
      <c r="C129" s="47"/>
      <c r="D129" s="47"/>
      <c r="E129" s="47"/>
      <c r="F129" s="48"/>
      <c r="G129" s="2"/>
      <c r="H129" s="56" t="s">
        <v>6</v>
      </c>
      <c r="I129" s="57"/>
      <c r="J129" s="57"/>
      <c r="K129" s="62" t="s">
        <v>7</v>
      </c>
      <c r="L129" s="65" t="str">
        <f>L89</f>
        <v>M/S. Kabir &amp; Co.
1104DT Road West Madarbari,
Chattogram, Bangladesh.</v>
      </c>
      <c r="M129" s="65"/>
      <c r="N129" s="65"/>
      <c r="O129" s="65"/>
      <c r="P129" s="66"/>
      <c r="R129" s="88"/>
      <c r="S129" s="88"/>
      <c r="T129" s="148"/>
      <c r="U129" s="26"/>
      <c r="V129" s="148"/>
    </row>
    <row r="130" spans="1:22" ht="18" thickBot="1" x14ac:dyDescent="0.35">
      <c r="A130" s="49"/>
      <c r="B130" s="50"/>
      <c r="C130" s="50"/>
      <c r="D130" s="50"/>
      <c r="E130" s="50"/>
      <c r="F130" s="51"/>
      <c r="G130" s="2"/>
      <c r="H130" s="58"/>
      <c r="I130" s="59"/>
      <c r="J130" s="59"/>
      <c r="K130" s="63"/>
      <c r="L130" s="67"/>
      <c r="M130" s="67"/>
      <c r="N130" s="67"/>
      <c r="O130" s="67"/>
      <c r="P130" s="68"/>
      <c r="R130" s="88"/>
      <c r="S130" s="88"/>
      <c r="T130" s="147"/>
      <c r="U130" s="26"/>
      <c r="V130" s="147"/>
    </row>
    <row r="131" spans="1:22" ht="18" customHeight="1" thickBot="1" x14ac:dyDescent="0.35">
      <c r="A131" s="42"/>
      <c r="B131" s="42"/>
      <c r="C131" s="1"/>
      <c r="D131" s="2"/>
      <c r="E131" s="2"/>
      <c r="F131" s="2"/>
      <c r="G131" s="2"/>
      <c r="H131" s="60"/>
      <c r="I131" s="61"/>
      <c r="J131" s="61"/>
      <c r="K131" s="64"/>
      <c r="L131" s="69"/>
      <c r="M131" s="69"/>
      <c r="N131" s="69"/>
      <c r="O131" s="69"/>
      <c r="P131" s="70"/>
      <c r="R131" s="88"/>
      <c r="S131" s="88"/>
      <c r="T131" s="147"/>
      <c r="U131" s="26"/>
      <c r="V131" s="148"/>
    </row>
    <row r="132" spans="1:22" ht="16.149999999999999" customHeight="1" x14ac:dyDescent="0.25">
      <c r="A132" s="103" t="s">
        <v>12</v>
      </c>
      <c r="B132" s="104"/>
      <c r="C132" s="105" t="s">
        <v>0</v>
      </c>
      <c r="D132" s="105"/>
      <c r="E132" s="105"/>
      <c r="F132" s="105"/>
      <c r="G132" s="105"/>
      <c r="H132" s="81" t="s">
        <v>1</v>
      </c>
      <c r="I132" s="82"/>
      <c r="J132" s="82"/>
      <c r="K132" s="82"/>
      <c r="L132" s="83"/>
      <c r="M132" s="84" t="s">
        <v>16</v>
      </c>
      <c r="N132" s="85"/>
      <c r="O132" s="86"/>
      <c r="P132" s="149" t="s">
        <v>3</v>
      </c>
      <c r="R132" s="88"/>
      <c r="S132" s="88"/>
      <c r="T132" s="147"/>
      <c r="U132" s="26"/>
      <c r="V132" s="148"/>
    </row>
    <row r="133" spans="1:22" ht="16.149999999999999" customHeight="1" x14ac:dyDescent="0.25">
      <c r="A133" s="3" t="s">
        <v>13</v>
      </c>
      <c r="B133" s="33">
        <f>B93</f>
        <v>1</v>
      </c>
      <c r="C133" s="96" t="str">
        <f>C93</f>
        <v>Delivery of Readymade Garments</v>
      </c>
      <c r="D133" s="96"/>
      <c r="E133" s="96"/>
      <c r="F133" s="96"/>
      <c r="G133" s="96"/>
      <c r="H133" s="165" t="s">
        <v>2</v>
      </c>
      <c r="I133" s="166"/>
      <c r="J133" s="167"/>
      <c r="K133" s="165" t="s">
        <v>15</v>
      </c>
      <c r="L133" s="167"/>
      <c r="M133" s="87"/>
      <c r="N133" s="88"/>
      <c r="O133" s="89"/>
      <c r="P133" s="150"/>
      <c r="R133" s="88"/>
      <c r="S133" s="88"/>
      <c r="T133" s="147"/>
      <c r="V133" s="147"/>
    </row>
    <row r="134" spans="1:22" ht="16.149999999999999" customHeight="1" thickBot="1" x14ac:dyDescent="0.3">
      <c r="A134" s="113" t="s">
        <v>11</v>
      </c>
      <c r="B134" s="114"/>
      <c r="C134" s="115" t="str">
        <f>C94</f>
        <v>H &amp; M</v>
      </c>
      <c r="D134" s="116"/>
      <c r="E134" s="117" t="s">
        <v>88</v>
      </c>
      <c r="F134" s="118"/>
      <c r="G134" s="114"/>
      <c r="H134" s="100"/>
      <c r="I134" s="101"/>
      <c r="J134" s="102"/>
      <c r="K134" s="100"/>
      <c r="L134" s="102"/>
      <c r="M134" s="90"/>
      <c r="N134" s="91"/>
      <c r="O134" s="92"/>
      <c r="P134" s="151"/>
      <c r="R134" s="88"/>
      <c r="S134" s="88"/>
      <c r="T134" s="147"/>
      <c r="V134" s="148"/>
    </row>
    <row r="135" spans="1:22" ht="25.15" customHeight="1" x14ac:dyDescent="0.25">
      <c r="A135" s="31">
        <f>A95</f>
        <v>0</v>
      </c>
      <c r="B135" s="119" t="str">
        <f>B95</f>
        <v>300726-5832</v>
      </c>
      <c r="C135" s="119"/>
      <c r="D135" s="119"/>
      <c r="E135" s="119"/>
      <c r="F135" s="119"/>
      <c r="G135" s="119"/>
      <c r="H135" s="160">
        <f>H95</f>
        <v>1</v>
      </c>
      <c r="I135" s="161"/>
      <c r="J135" s="162"/>
      <c r="K135" s="163">
        <f>K95</f>
        <v>67</v>
      </c>
      <c r="L135" s="164"/>
      <c r="M135" s="106" t="str">
        <f>M95</f>
        <v>NH</v>
      </c>
      <c r="N135" s="107"/>
      <c r="O135" s="108"/>
      <c r="P135" s="34">
        <f>P95</f>
        <v>0</v>
      </c>
      <c r="R135" s="88"/>
      <c r="S135" s="88"/>
      <c r="T135" s="147"/>
      <c r="V135" s="148"/>
    </row>
    <row r="136" spans="1:22" ht="25.15" customHeight="1" x14ac:dyDescent="0.25">
      <c r="A136" s="32">
        <f>A96</f>
        <v>0</v>
      </c>
      <c r="B136" s="109" t="str">
        <f>B96</f>
        <v>300624-5832</v>
      </c>
      <c r="C136" s="109"/>
      <c r="D136" s="109"/>
      <c r="E136" s="109"/>
      <c r="F136" s="109"/>
      <c r="G136" s="109"/>
      <c r="H136" s="152">
        <f>H96</f>
        <v>3</v>
      </c>
      <c r="I136" s="153"/>
      <c r="J136" s="154"/>
      <c r="K136" s="155">
        <f>K96</f>
        <v>117</v>
      </c>
      <c r="L136" s="156"/>
      <c r="M136" s="157" t="str">
        <f>M96</f>
        <v>NH</v>
      </c>
      <c r="N136" s="158"/>
      <c r="O136" s="159"/>
      <c r="P136" s="35">
        <f>P96</f>
        <v>0</v>
      </c>
      <c r="R136" s="88"/>
      <c r="S136" s="88"/>
      <c r="T136" s="67"/>
      <c r="V136" s="147"/>
    </row>
    <row r="137" spans="1:22" ht="25.15" customHeight="1" x14ac:dyDescent="0.25">
      <c r="A137" s="32">
        <f t="shared" ref="A137:B152" si="12">A97</f>
        <v>0</v>
      </c>
      <c r="B137" s="109" t="str">
        <f t="shared" si="12"/>
        <v>300625-5832</v>
      </c>
      <c r="C137" s="109"/>
      <c r="D137" s="109"/>
      <c r="E137" s="109"/>
      <c r="F137" s="109"/>
      <c r="G137" s="109"/>
      <c r="H137" s="152">
        <f>H97</f>
        <v>1</v>
      </c>
      <c r="I137" s="153"/>
      <c r="J137" s="154"/>
      <c r="K137" s="155">
        <f>K97</f>
        <v>44</v>
      </c>
      <c r="L137" s="156"/>
      <c r="M137" s="157" t="str">
        <f t="shared" ref="M137:M154" si="13">M97</f>
        <v>NH</v>
      </c>
      <c r="N137" s="158"/>
      <c r="O137" s="159"/>
      <c r="P137" s="35">
        <f t="shared" ref="P137:P154" si="14">P97</f>
        <v>0</v>
      </c>
      <c r="R137" s="88"/>
      <c r="S137" s="88"/>
      <c r="T137" s="67"/>
      <c r="V137" s="148"/>
    </row>
    <row r="138" spans="1:22" ht="25.15" customHeight="1" x14ac:dyDescent="0.25">
      <c r="A138" s="32">
        <f t="shared" si="12"/>
        <v>0</v>
      </c>
      <c r="B138" s="109" t="str">
        <f t="shared" si="12"/>
        <v>296984-7272</v>
      </c>
      <c r="C138" s="109"/>
      <c r="D138" s="109"/>
      <c r="E138" s="109"/>
      <c r="F138" s="109"/>
      <c r="G138" s="109"/>
      <c r="H138" s="152">
        <f t="shared" ref="H138:H154" si="15">H98</f>
        <v>1</v>
      </c>
      <c r="I138" s="153"/>
      <c r="J138" s="154"/>
      <c r="K138" s="155">
        <f t="shared" ref="K138:K154" si="16">K98</f>
        <v>51</v>
      </c>
      <c r="L138" s="156"/>
      <c r="M138" s="157" t="str">
        <f t="shared" si="13"/>
        <v>NH</v>
      </c>
      <c r="N138" s="158"/>
      <c r="O138" s="159"/>
      <c r="P138" s="35">
        <f t="shared" si="14"/>
        <v>0</v>
      </c>
      <c r="R138" s="88"/>
      <c r="S138" s="88"/>
      <c r="T138" s="67"/>
      <c r="V138" s="148"/>
    </row>
    <row r="139" spans="1:22" ht="25.15" customHeight="1" x14ac:dyDescent="0.25">
      <c r="A139" s="32">
        <f t="shared" si="12"/>
        <v>0</v>
      </c>
      <c r="B139" s="109" t="str">
        <f t="shared" si="12"/>
        <v>302714-5832</v>
      </c>
      <c r="C139" s="109"/>
      <c r="D139" s="109"/>
      <c r="E139" s="109"/>
      <c r="F139" s="109"/>
      <c r="G139" s="109"/>
      <c r="H139" s="152">
        <f t="shared" si="15"/>
        <v>1</v>
      </c>
      <c r="I139" s="153"/>
      <c r="J139" s="154"/>
      <c r="K139" s="155">
        <f t="shared" si="16"/>
        <v>55</v>
      </c>
      <c r="L139" s="156"/>
      <c r="M139" s="157" t="str">
        <f t="shared" si="13"/>
        <v>NH</v>
      </c>
      <c r="N139" s="158"/>
      <c r="O139" s="159"/>
      <c r="P139" s="35">
        <f t="shared" si="14"/>
        <v>0</v>
      </c>
      <c r="R139" s="88"/>
      <c r="S139" s="88"/>
      <c r="T139" s="67"/>
      <c r="V139" s="147"/>
    </row>
    <row r="140" spans="1:22" ht="25.15" customHeight="1" x14ac:dyDescent="0.25">
      <c r="A140" s="32">
        <f t="shared" si="12"/>
        <v>0</v>
      </c>
      <c r="B140" s="109" t="str">
        <f t="shared" si="12"/>
        <v>328562-7952</v>
      </c>
      <c r="C140" s="109"/>
      <c r="D140" s="109"/>
      <c r="E140" s="109"/>
      <c r="F140" s="109"/>
      <c r="G140" s="109"/>
      <c r="H140" s="152">
        <f t="shared" si="15"/>
        <v>9</v>
      </c>
      <c r="I140" s="153"/>
      <c r="J140" s="154"/>
      <c r="K140" s="155">
        <f t="shared" si="16"/>
        <v>483</v>
      </c>
      <c r="L140" s="156"/>
      <c r="M140" s="157" t="str">
        <f t="shared" si="13"/>
        <v>LD</v>
      </c>
      <c r="N140" s="158"/>
      <c r="O140" s="159"/>
      <c r="P140" s="35">
        <f t="shared" si="14"/>
        <v>0</v>
      </c>
      <c r="R140" s="88"/>
      <c r="S140" s="88"/>
      <c r="T140" s="67"/>
      <c r="V140" s="148"/>
    </row>
    <row r="141" spans="1:22" ht="25.15" customHeight="1" x14ac:dyDescent="0.25">
      <c r="A141" s="32">
        <f t="shared" si="12"/>
        <v>0</v>
      </c>
      <c r="B141" s="109" t="str">
        <f t="shared" si="12"/>
        <v>283988-5828</v>
      </c>
      <c r="C141" s="109"/>
      <c r="D141" s="109"/>
      <c r="E141" s="109"/>
      <c r="F141" s="109"/>
      <c r="G141" s="109"/>
      <c r="H141" s="152">
        <f t="shared" si="15"/>
        <v>1</v>
      </c>
      <c r="I141" s="153"/>
      <c r="J141" s="154"/>
      <c r="K141" s="155">
        <f t="shared" si="16"/>
        <v>13</v>
      </c>
      <c r="L141" s="156"/>
      <c r="M141" s="157" t="str">
        <f t="shared" si="13"/>
        <v>NH</v>
      </c>
      <c r="N141" s="158"/>
      <c r="O141" s="159"/>
      <c r="P141" s="35">
        <f t="shared" si="14"/>
        <v>0</v>
      </c>
      <c r="R141" s="88"/>
      <c r="S141" s="88"/>
      <c r="T141" s="67"/>
      <c r="V141" s="148"/>
    </row>
    <row r="142" spans="1:22" ht="25.15" customHeight="1" x14ac:dyDescent="0.25">
      <c r="A142" s="32">
        <f t="shared" si="12"/>
        <v>0</v>
      </c>
      <c r="B142" s="109" t="str">
        <f t="shared" si="12"/>
        <v>284072-5828</v>
      </c>
      <c r="C142" s="109"/>
      <c r="D142" s="109"/>
      <c r="E142" s="109"/>
      <c r="F142" s="109"/>
      <c r="G142" s="109"/>
      <c r="H142" s="152">
        <f t="shared" si="15"/>
        <v>1</v>
      </c>
      <c r="I142" s="153"/>
      <c r="J142" s="154"/>
      <c r="K142" s="155">
        <f t="shared" si="16"/>
        <v>58</v>
      </c>
      <c r="L142" s="156"/>
      <c r="M142" s="157" t="str">
        <f t="shared" si="13"/>
        <v>NH</v>
      </c>
      <c r="N142" s="158"/>
      <c r="O142" s="159"/>
      <c r="P142" s="35">
        <f t="shared" si="14"/>
        <v>0</v>
      </c>
      <c r="R142" s="88"/>
      <c r="S142" s="88"/>
      <c r="T142" s="67"/>
    </row>
    <row r="143" spans="1:22" ht="25.15" customHeight="1" x14ac:dyDescent="0.25">
      <c r="A143" s="32">
        <f t="shared" si="12"/>
        <v>0</v>
      </c>
      <c r="B143" s="109" t="str">
        <f t="shared" si="12"/>
        <v>321334-5828</v>
      </c>
      <c r="C143" s="109"/>
      <c r="D143" s="109"/>
      <c r="E143" s="109"/>
      <c r="F143" s="109"/>
      <c r="G143" s="109"/>
      <c r="H143" s="152">
        <f t="shared" si="15"/>
        <v>5</v>
      </c>
      <c r="I143" s="153"/>
      <c r="J143" s="154"/>
      <c r="K143" s="155">
        <f t="shared" si="16"/>
        <v>223</v>
      </c>
      <c r="L143" s="156"/>
      <c r="M143" s="157" t="str">
        <f t="shared" si="13"/>
        <v>LD</v>
      </c>
      <c r="N143" s="158"/>
      <c r="O143" s="159"/>
      <c r="P143" s="35">
        <f t="shared" si="14"/>
        <v>0</v>
      </c>
      <c r="R143" s="88"/>
      <c r="S143" s="88"/>
      <c r="T143" s="67"/>
    </row>
    <row r="144" spans="1:22" ht="25.15" customHeight="1" x14ac:dyDescent="0.25">
      <c r="A144" s="32">
        <f t="shared" si="12"/>
        <v>0</v>
      </c>
      <c r="B144" s="109" t="str">
        <f t="shared" si="12"/>
        <v>311047-5828</v>
      </c>
      <c r="C144" s="109"/>
      <c r="D144" s="109"/>
      <c r="E144" s="109"/>
      <c r="F144" s="109"/>
      <c r="G144" s="109"/>
      <c r="H144" s="152">
        <f t="shared" si="15"/>
        <v>4</v>
      </c>
      <c r="I144" s="153"/>
      <c r="J144" s="154"/>
      <c r="K144" s="155">
        <f t="shared" si="16"/>
        <v>186</v>
      </c>
      <c r="L144" s="156"/>
      <c r="M144" s="157" t="str">
        <f t="shared" si="13"/>
        <v>LD</v>
      </c>
      <c r="N144" s="158"/>
      <c r="O144" s="159"/>
      <c r="P144" s="35">
        <f t="shared" si="14"/>
        <v>0</v>
      </c>
      <c r="R144" s="88"/>
      <c r="S144" s="88"/>
      <c r="T144" s="67"/>
    </row>
    <row r="145" spans="1:20" ht="25.15" customHeight="1" x14ac:dyDescent="0.25">
      <c r="A145" s="32">
        <f t="shared" si="12"/>
        <v>0</v>
      </c>
      <c r="B145" s="109" t="str">
        <f t="shared" si="12"/>
        <v>272315-5828</v>
      </c>
      <c r="C145" s="109"/>
      <c r="D145" s="109"/>
      <c r="E145" s="109"/>
      <c r="F145" s="109"/>
      <c r="G145" s="109"/>
      <c r="H145" s="152">
        <f t="shared" si="15"/>
        <v>3</v>
      </c>
      <c r="I145" s="153"/>
      <c r="J145" s="154"/>
      <c r="K145" s="155">
        <f t="shared" si="16"/>
        <v>126</v>
      </c>
      <c r="L145" s="156"/>
      <c r="M145" s="157" t="str">
        <f t="shared" si="13"/>
        <v>MY</v>
      </c>
      <c r="N145" s="158"/>
      <c r="O145" s="159"/>
      <c r="P145" s="35">
        <f t="shared" si="14"/>
        <v>0</v>
      </c>
      <c r="R145" s="88"/>
      <c r="S145" s="88"/>
      <c r="T145" s="67"/>
    </row>
    <row r="146" spans="1:20" ht="25.15" customHeight="1" x14ac:dyDescent="0.25">
      <c r="A146" s="32">
        <f t="shared" si="12"/>
        <v>0</v>
      </c>
      <c r="B146" s="109" t="str">
        <f t="shared" si="12"/>
        <v>300626-5832</v>
      </c>
      <c r="C146" s="109"/>
      <c r="D146" s="109"/>
      <c r="E146" s="109"/>
      <c r="F146" s="109"/>
      <c r="G146" s="109"/>
      <c r="H146" s="152">
        <f t="shared" si="15"/>
        <v>1</v>
      </c>
      <c r="I146" s="153"/>
      <c r="J146" s="154"/>
      <c r="K146" s="155">
        <f t="shared" si="16"/>
        <v>37</v>
      </c>
      <c r="L146" s="156"/>
      <c r="M146" s="157" t="str">
        <f t="shared" si="13"/>
        <v>NH</v>
      </c>
      <c r="N146" s="158"/>
      <c r="O146" s="159"/>
      <c r="P146" s="35">
        <f t="shared" si="14"/>
        <v>0</v>
      </c>
      <c r="R146" s="88"/>
      <c r="S146" s="88"/>
      <c r="T146" s="67"/>
    </row>
    <row r="147" spans="1:20" ht="25.15" customHeight="1" x14ac:dyDescent="0.25">
      <c r="A147" s="32">
        <f t="shared" si="12"/>
        <v>0</v>
      </c>
      <c r="B147" s="109" t="str">
        <f t="shared" si="12"/>
        <v>300623-5832</v>
      </c>
      <c r="C147" s="109"/>
      <c r="D147" s="109"/>
      <c r="E147" s="109"/>
      <c r="F147" s="109"/>
      <c r="G147" s="109"/>
      <c r="H147" s="152">
        <f t="shared" si="15"/>
        <v>2</v>
      </c>
      <c r="I147" s="153"/>
      <c r="J147" s="154"/>
      <c r="K147" s="155">
        <f t="shared" si="16"/>
        <v>92</v>
      </c>
      <c r="L147" s="156"/>
      <c r="M147" s="157" t="str">
        <f t="shared" si="13"/>
        <v>NH</v>
      </c>
      <c r="N147" s="158"/>
      <c r="O147" s="159"/>
      <c r="P147" s="35">
        <f t="shared" si="14"/>
        <v>0</v>
      </c>
      <c r="R147" s="88"/>
      <c r="S147" s="88"/>
      <c r="T147" s="67"/>
    </row>
    <row r="148" spans="1:20" ht="25.15" customHeight="1" x14ac:dyDescent="0.25">
      <c r="A148" s="32">
        <f t="shared" si="12"/>
        <v>0</v>
      </c>
      <c r="B148" s="109" t="str">
        <f t="shared" si="12"/>
        <v>266270-5828</v>
      </c>
      <c r="C148" s="109"/>
      <c r="D148" s="109"/>
      <c r="E148" s="109"/>
      <c r="F148" s="109"/>
      <c r="G148" s="109"/>
      <c r="H148" s="152">
        <f t="shared" si="15"/>
        <v>11</v>
      </c>
      <c r="I148" s="153"/>
      <c r="J148" s="154"/>
      <c r="K148" s="155">
        <f t="shared" si="16"/>
        <v>560</v>
      </c>
      <c r="L148" s="156"/>
      <c r="M148" s="157" t="str">
        <f t="shared" si="13"/>
        <v>MY</v>
      </c>
      <c r="N148" s="158"/>
      <c r="O148" s="159"/>
      <c r="P148" s="35">
        <f t="shared" si="14"/>
        <v>0</v>
      </c>
      <c r="R148" s="88"/>
      <c r="S148" s="88"/>
      <c r="T148" s="67"/>
    </row>
    <row r="149" spans="1:20" ht="25.15" customHeight="1" x14ac:dyDescent="0.25">
      <c r="A149" s="32">
        <f t="shared" si="12"/>
        <v>0</v>
      </c>
      <c r="B149" s="109" t="str">
        <f t="shared" si="12"/>
        <v>267089-5828</v>
      </c>
      <c r="C149" s="109"/>
      <c r="D149" s="109"/>
      <c r="E149" s="109"/>
      <c r="F149" s="109"/>
      <c r="G149" s="109"/>
      <c r="H149" s="152">
        <f t="shared" si="15"/>
        <v>21</v>
      </c>
      <c r="I149" s="153"/>
      <c r="J149" s="154"/>
      <c r="K149" s="155">
        <f t="shared" si="16"/>
        <v>1069</v>
      </c>
      <c r="L149" s="156"/>
      <c r="M149" s="157" t="str">
        <f t="shared" si="13"/>
        <v>MY</v>
      </c>
      <c r="N149" s="158"/>
      <c r="O149" s="159"/>
      <c r="P149" s="35">
        <f t="shared" si="14"/>
        <v>0</v>
      </c>
      <c r="R149" s="88"/>
      <c r="S149" s="88"/>
      <c r="T149" s="67"/>
    </row>
    <row r="150" spans="1:20" ht="25.15" customHeight="1" x14ac:dyDescent="0.25">
      <c r="A150" s="32">
        <f t="shared" si="12"/>
        <v>0</v>
      </c>
      <c r="B150" s="109" t="str">
        <f t="shared" si="12"/>
        <v>285469-5832</v>
      </c>
      <c r="C150" s="109"/>
      <c r="D150" s="109"/>
      <c r="E150" s="109"/>
      <c r="F150" s="109"/>
      <c r="G150" s="109"/>
      <c r="H150" s="152">
        <f t="shared" si="15"/>
        <v>13</v>
      </c>
      <c r="I150" s="153"/>
      <c r="J150" s="154"/>
      <c r="K150" s="155">
        <f t="shared" si="16"/>
        <v>754</v>
      </c>
      <c r="L150" s="156"/>
      <c r="M150" s="157" t="str">
        <f t="shared" si="13"/>
        <v>MY</v>
      </c>
      <c r="N150" s="158"/>
      <c r="O150" s="159"/>
      <c r="P150" s="35">
        <f t="shared" si="14"/>
        <v>0</v>
      </c>
      <c r="R150" s="88"/>
      <c r="S150" s="88"/>
      <c r="T150" s="67"/>
    </row>
    <row r="151" spans="1:20" ht="25.15" customHeight="1" x14ac:dyDescent="0.25">
      <c r="A151" s="32">
        <f t="shared" si="12"/>
        <v>0</v>
      </c>
      <c r="B151" s="109" t="str">
        <f t="shared" si="12"/>
        <v>306972-5828</v>
      </c>
      <c r="C151" s="109"/>
      <c r="D151" s="109"/>
      <c r="E151" s="109"/>
      <c r="F151" s="109"/>
      <c r="G151" s="109"/>
      <c r="H151" s="152">
        <f t="shared" si="15"/>
        <v>32</v>
      </c>
      <c r="I151" s="153"/>
      <c r="J151" s="154"/>
      <c r="K151" s="155">
        <f t="shared" si="16"/>
        <v>2603</v>
      </c>
      <c r="L151" s="156"/>
      <c r="M151" s="157" t="str">
        <f t="shared" si="13"/>
        <v>MX,EC</v>
      </c>
      <c r="N151" s="158"/>
      <c r="O151" s="159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09" t="str">
        <f t="shared" si="12"/>
        <v>290560-5832</v>
      </c>
      <c r="C152" s="109"/>
      <c r="D152" s="109"/>
      <c r="E152" s="109"/>
      <c r="F152" s="109"/>
      <c r="G152" s="109"/>
      <c r="H152" s="152">
        <f t="shared" si="15"/>
        <v>1</v>
      </c>
      <c r="I152" s="153"/>
      <c r="J152" s="154"/>
      <c r="K152" s="155">
        <f t="shared" si="16"/>
        <v>21</v>
      </c>
      <c r="L152" s="156"/>
      <c r="M152" s="157" t="str">
        <f t="shared" si="13"/>
        <v>NH</v>
      </c>
      <c r="N152" s="158"/>
      <c r="O152" s="159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09" t="str">
        <f t="shared" si="17"/>
        <v>285434-5832</v>
      </c>
      <c r="C153" s="109"/>
      <c r="D153" s="109"/>
      <c r="E153" s="109"/>
      <c r="F153" s="109"/>
      <c r="G153" s="109"/>
      <c r="H153" s="152">
        <f t="shared" si="15"/>
        <v>15</v>
      </c>
      <c r="I153" s="153"/>
      <c r="J153" s="154"/>
      <c r="K153" s="155">
        <f t="shared" si="16"/>
        <v>844</v>
      </c>
      <c r="L153" s="156"/>
      <c r="M153" s="157" t="str">
        <f t="shared" si="13"/>
        <v>MY</v>
      </c>
      <c r="N153" s="158"/>
      <c r="O153" s="159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09" t="str">
        <f t="shared" si="17"/>
        <v>285477-5832</v>
      </c>
      <c r="C154" s="109"/>
      <c r="D154" s="109"/>
      <c r="E154" s="109"/>
      <c r="F154" s="109"/>
      <c r="G154" s="109"/>
      <c r="H154" s="152">
        <f t="shared" si="15"/>
        <v>10</v>
      </c>
      <c r="I154" s="153"/>
      <c r="J154" s="154"/>
      <c r="K154" s="155">
        <f t="shared" si="16"/>
        <v>506</v>
      </c>
      <c r="L154" s="156"/>
      <c r="M154" s="157" t="str">
        <f t="shared" si="13"/>
        <v>MY</v>
      </c>
      <c r="N154" s="158"/>
      <c r="O154" s="159"/>
      <c r="P154" s="35">
        <f t="shared" si="14"/>
        <v>0</v>
      </c>
    </row>
    <row r="155" spans="1:20" ht="21.95" customHeight="1" thickBot="1" x14ac:dyDescent="0.3">
      <c r="A155" s="126" t="s">
        <v>17</v>
      </c>
      <c r="B155" s="127"/>
      <c r="C155" s="127"/>
      <c r="D155" s="127"/>
      <c r="E155" s="127"/>
      <c r="F155" s="127"/>
      <c r="G155" s="116"/>
      <c r="H155" s="128">
        <f>SUM(H135:J154)</f>
        <v>136</v>
      </c>
      <c r="I155" s="168"/>
      <c r="J155" s="169"/>
      <c r="K155" s="131">
        <f>SUM(K135:L154)</f>
        <v>7909</v>
      </c>
      <c r="L155" s="132"/>
      <c r="M155" s="133"/>
      <c r="N155" s="134"/>
      <c r="O155" s="135"/>
      <c r="P155" s="19"/>
    </row>
    <row r="157" spans="1:20" ht="31.9" customHeight="1" x14ac:dyDescent="0.25">
      <c r="A157" s="137" t="s">
        <v>22</v>
      </c>
      <c r="B157" s="138"/>
      <c r="C157" s="138"/>
      <c r="D157" s="139" t="str">
        <f>D117</f>
        <v>MD.ISMAEIL</v>
      </c>
      <c r="E157" s="139"/>
      <c r="F157" s="139"/>
      <c r="G157" s="138" t="s">
        <v>23</v>
      </c>
      <c r="H157" s="138"/>
      <c r="I157" s="138"/>
      <c r="J157" s="138"/>
      <c r="K157" s="138"/>
      <c r="L157" s="138"/>
      <c r="M157" s="140" t="str">
        <f>M117</f>
        <v>01766-040391</v>
      </c>
      <c r="N157" s="140"/>
      <c r="O157" s="140"/>
      <c r="P157" s="141"/>
    </row>
    <row r="158" spans="1:20" ht="31.9" customHeight="1" x14ac:dyDescent="0.25">
      <c r="A158" s="142" t="s">
        <v>24</v>
      </c>
      <c r="B158" s="143"/>
      <c r="C158" s="143"/>
      <c r="D158" s="144" t="str">
        <f>D118</f>
        <v>O138509</v>
      </c>
      <c r="E158" s="144"/>
      <c r="F158" s="144"/>
      <c r="G158" s="143" t="s">
        <v>25</v>
      </c>
      <c r="H158" s="143"/>
      <c r="I158" s="143"/>
      <c r="J158" s="143"/>
      <c r="K158" s="143"/>
      <c r="L158" s="143"/>
      <c r="M158" s="145" t="str">
        <f>M118</f>
        <v>D.M.TA 22-2381</v>
      </c>
      <c r="N158" s="145"/>
      <c r="O158" s="145"/>
      <c r="P158" s="146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36" t="s">
        <v>18</v>
      </c>
      <c r="B160" s="136"/>
      <c r="C160" s="136"/>
      <c r="D160" s="4"/>
      <c r="E160" s="4"/>
      <c r="F160" s="136" t="s">
        <v>19</v>
      </c>
      <c r="G160" s="136"/>
      <c r="H160" s="36"/>
      <c r="I160" s="36"/>
      <c r="J160" s="36"/>
      <c r="K160" s="4"/>
      <c r="L160" s="136" t="s">
        <v>20</v>
      </c>
      <c r="M160" s="136"/>
      <c r="N160" s="136"/>
      <c r="O160" s="136"/>
      <c r="P160" s="136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26:G26"/>
    <mergeCell ref="H26:J26"/>
    <mergeCell ref="K26:L26"/>
    <mergeCell ref="M26:O26"/>
    <mergeCell ref="B27:G27"/>
    <mergeCell ref="H27:J27"/>
    <mergeCell ref="K27:L27"/>
    <mergeCell ref="M27:O27"/>
    <mergeCell ref="B24:G24"/>
    <mergeCell ref="H24:J24"/>
    <mergeCell ref="K24:L24"/>
    <mergeCell ref="M24:O24"/>
    <mergeCell ref="B25:G25"/>
    <mergeCell ref="H25:J25"/>
    <mergeCell ref="K25:L25"/>
    <mergeCell ref="M25:O25"/>
    <mergeCell ref="V16:V18"/>
    <mergeCell ref="B17:G17"/>
    <mergeCell ref="H17:J17"/>
    <mergeCell ref="K17:L17"/>
    <mergeCell ref="M17:O17"/>
    <mergeCell ref="B18:G18"/>
    <mergeCell ref="B23:G23"/>
    <mergeCell ref="H23:J23"/>
    <mergeCell ref="K23:L23"/>
    <mergeCell ref="M23:O23"/>
    <mergeCell ref="V19:V21"/>
    <mergeCell ref="B20:G20"/>
    <mergeCell ref="H20:J20"/>
    <mergeCell ref="K20:L20"/>
    <mergeCell ref="M20:O20"/>
    <mergeCell ref="B21:G21"/>
    <mergeCell ref="H21:J21"/>
    <mergeCell ref="K21:L21"/>
    <mergeCell ref="M21:O21"/>
    <mergeCell ref="B19:G19"/>
    <mergeCell ref="H19:J19"/>
    <mergeCell ref="K19:L19"/>
    <mergeCell ref="M19:O19"/>
    <mergeCell ref="M15:O15"/>
    <mergeCell ref="H18:J18"/>
    <mergeCell ref="K18:L18"/>
    <mergeCell ref="M18:O18"/>
    <mergeCell ref="B16:G16"/>
    <mergeCell ref="H16:J16"/>
    <mergeCell ref="K16:L16"/>
    <mergeCell ref="M16:O16"/>
    <mergeCell ref="B22:G22"/>
    <mergeCell ref="H22:J22"/>
    <mergeCell ref="K22:L22"/>
    <mergeCell ref="M22:O22"/>
    <mergeCell ref="C12:G12"/>
    <mergeCell ref="H12:L12"/>
    <mergeCell ref="M12:O14"/>
    <mergeCell ref="P12:P14"/>
    <mergeCell ref="C13:G13"/>
    <mergeCell ref="H13:J14"/>
    <mergeCell ref="K13:L14"/>
    <mergeCell ref="V7:V9"/>
    <mergeCell ref="A8:F10"/>
    <mergeCell ref="H8:J8"/>
    <mergeCell ref="L8:P8"/>
    <mergeCell ref="H9:J11"/>
    <mergeCell ref="K9:K11"/>
    <mergeCell ref="L9:P11"/>
    <mergeCell ref="V10:V12"/>
    <mergeCell ref="A11:B11"/>
    <mergeCell ref="A12:B12"/>
    <mergeCell ref="V13:V15"/>
    <mergeCell ref="A14:B14"/>
    <mergeCell ref="C14:D14"/>
    <mergeCell ref="E14:G14"/>
    <mergeCell ref="B15:G15"/>
    <mergeCell ref="H15:J15"/>
    <mergeCell ref="K15:L15"/>
    <mergeCell ref="A6:B6"/>
    <mergeCell ref="C6:F6"/>
    <mergeCell ref="H6:J6"/>
    <mergeCell ref="L6:P6"/>
    <mergeCell ref="H7:J7"/>
    <mergeCell ref="L7:P7"/>
    <mergeCell ref="A2:C3"/>
    <mergeCell ref="D2:L3"/>
    <mergeCell ref="M2:P3"/>
    <mergeCell ref="A4:C4"/>
    <mergeCell ref="D4:L4"/>
    <mergeCell ref="A5:B5"/>
    <mergeCell ref="D5:L5"/>
    <mergeCell ref="N5:P5"/>
  </mergeCells>
  <dataValidations count="4">
    <dataValidation type="list" allowBlank="1" showInputMessage="1" showErrorMessage="1" sqref="L8:P8 L48:P48 L88:P88 L128:P128" xr:uid="{538791AD-BA1B-4FA4-8A67-96FDE4B1721F}">
      <formula1>Mode</formula1>
    </dataValidation>
    <dataValidation type="list" allowBlank="1" showInputMessage="1" showErrorMessage="1" sqref="A8 A48 A88 A128" xr:uid="{3E3C3F5D-79A1-40D7-9CA1-9DB131DDEDE9}">
      <formula1>$T$7:$T$35</formula1>
    </dataValidation>
    <dataValidation type="list" allowBlank="1" showInputMessage="1" showErrorMessage="1" sqref="L9:P11 L49:P51 L89:P91 L129:P131" xr:uid="{47E121CA-5F0A-4AD2-B054-45FCF918F753}">
      <formula1>Carrier</formula1>
    </dataValidation>
    <dataValidation type="list" allowBlank="1" showInputMessage="1" showErrorMessage="1" sqref="C14:D14 C94:D94 C54:D54 C134:D134" xr:uid="{7B5A8512-19FC-4778-8C57-83B9A3E8122B}">
      <formula1>$W$7:$W$161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59A95-AA45-4246-8B1A-C5122B80B14F}">
  <sheetPr>
    <tabColor rgb="FF00B050"/>
  </sheetPr>
  <dimension ref="A1:Y168"/>
  <sheetViews>
    <sheetView view="pageBreakPreview" zoomScaleNormal="100" zoomScaleSheetLayoutView="100" workbookViewId="0">
      <selection activeCell="D37" sqref="D37:F37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37"/>
      <c r="B2" s="37"/>
      <c r="C2" s="37"/>
      <c r="D2" s="38" t="s">
        <v>27</v>
      </c>
      <c r="E2" s="38"/>
      <c r="F2" s="38"/>
      <c r="G2" s="38"/>
      <c r="H2" s="38"/>
      <c r="I2" s="38"/>
      <c r="J2" s="38"/>
      <c r="K2" s="38"/>
      <c r="L2" s="38"/>
      <c r="M2" s="39" t="s">
        <v>26</v>
      </c>
      <c r="N2" s="39"/>
      <c r="O2" s="39"/>
      <c r="P2" s="39"/>
      <c r="Q2" s="10"/>
    </row>
    <row r="3" spans="1:25" ht="22.15" customHeight="1" x14ac:dyDescent="0.25">
      <c r="A3" s="37"/>
      <c r="B3" s="37"/>
      <c r="C3" s="37"/>
      <c r="D3" s="38"/>
      <c r="E3" s="38"/>
      <c r="F3" s="38"/>
      <c r="G3" s="38"/>
      <c r="H3" s="38"/>
      <c r="I3" s="38"/>
      <c r="J3" s="38"/>
      <c r="K3" s="38"/>
      <c r="L3" s="38"/>
      <c r="M3" s="39"/>
      <c r="N3" s="39"/>
      <c r="O3" s="39"/>
      <c r="P3" s="39"/>
      <c r="Q3" s="10"/>
    </row>
    <row r="4" spans="1:25" ht="17.45" customHeight="1" x14ac:dyDescent="0.25">
      <c r="A4" s="40"/>
      <c r="B4" s="40"/>
      <c r="C4" s="40"/>
      <c r="D4" s="41" t="s">
        <v>21</v>
      </c>
      <c r="E4" s="41"/>
      <c r="F4" s="41"/>
      <c r="G4" s="41"/>
      <c r="H4" s="41"/>
      <c r="I4" s="41"/>
      <c r="J4" s="41"/>
      <c r="K4" s="41"/>
      <c r="L4" s="41"/>
      <c r="M4" s="11"/>
    </row>
    <row r="5" spans="1:25" ht="22.15" customHeight="1" thickBot="1" x14ac:dyDescent="0.35">
      <c r="A5" s="42"/>
      <c r="B5" s="42"/>
      <c r="C5" s="1"/>
      <c r="D5" s="43" t="s">
        <v>89</v>
      </c>
      <c r="E5" s="43"/>
      <c r="F5" s="43"/>
      <c r="G5" s="43"/>
      <c r="H5" s="43"/>
      <c r="I5" s="43"/>
      <c r="J5" s="43"/>
      <c r="K5" s="43"/>
      <c r="L5" s="43"/>
      <c r="M5" s="2"/>
      <c r="N5" s="37"/>
      <c r="O5" s="37"/>
      <c r="P5" s="37"/>
    </row>
    <row r="6" spans="1:25" ht="15.6" customHeight="1" thickBot="1" x14ac:dyDescent="0.35">
      <c r="A6" s="71" t="s">
        <v>9</v>
      </c>
      <c r="B6" s="72"/>
      <c r="C6" s="73" t="s">
        <v>122</v>
      </c>
      <c r="D6" s="73"/>
      <c r="E6" s="73"/>
      <c r="F6" s="74"/>
      <c r="G6" s="2"/>
      <c r="H6" s="75" t="s">
        <v>4</v>
      </c>
      <c r="I6" s="76"/>
      <c r="J6" s="76"/>
      <c r="K6" s="8" t="s">
        <v>7</v>
      </c>
      <c r="L6" s="77" t="s">
        <v>295</v>
      </c>
      <c r="M6" s="77"/>
      <c r="N6" s="77"/>
      <c r="O6" s="77"/>
      <c r="P6" s="78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52" t="s">
        <v>5</v>
      </c>
      <c r="I7" s="53"/>
      <c r="J7" s="53"/>
      <c r="K7" s="9" t="s">
        <v>7</v>
      </c>
      <c r="L7" s="79">
        <v>45687</v>
      </c>
      <c r="M7" s="79"/>
      <c r="N7" s="79"/>
      <c r="O7" s="79"/>
      <c r="P7" s="80"/>
      <c r="R7" s="28">
        <v>1</v>
      </c>
      <c r="S7" s="28" t="s">
        <v>39</v>
      </c>
      <c r="T7" s="29" t="s">
        <v>33</v>
      </c>
      <c r="U7" s="17" t="s">
        <v>29</v>
      </c>
      <c r="V7" s="44" t="s">
        <v>47</v>
      </c>
      <c r="W7" t="s">
        <v>54</v>
      </c>
    </row>
    <row r="8" spans="1:25" ht="18" customHeight="1" x14ac:dyDescent="0.3">
      <c r="A8" s="46" t="s">
        <v>252</v>
      </c>
      <c r="B8" s="47"/>
      <c r="C8" s="47"/>
      <c r="D8" s="47"/>
      <c r="E8" s="47"/>
      <c r="F8" s="48"/>
      <c r="G8" s="2"/>
      <c r="H8" s="52" t="s">
        <v>8</v>
      </c>
      <c r="I8" s="53"/>
      <c r="J8" s="53"/>
      <c r="K8" s="9" t="s">
        <v>7</v>
      </c>
      <c r="L8" s="54" t="s">
        <v>29</v>
      </c>
      <c r="M8" s="54"/>
      <c r="N8" s="54"/>
      <c r="O8" s="54"/>
      <c r="P8" s="55"/>
      <c r="R8" s="28">
        <v>2</v>
      </c>
      <c r="S8" s="28" t="s">
        <v>40</v>
      </c>
      <c r="T8" s="29" t="s">
        <v>99</v>
      </c>
      <c r="U8" s="17" t="s">
        <v>30</v>
      </c>
      <c r="V8" s="45"/>
      <c r="W8" t="s">
        <v>55</v>
      </c>
    </row>
    <row r="9" spans="1:25" ht="17.45" customHeight="1" x14ac:dyDescent="0.3">
      <c r="A9" s="46"/>
      <c r="B9" s="47"/>
      <c r="C9" s="47"/>
      <c r="D9" s="47"/>
      <c r="E9" s="47"/>
      <c r="F9" s="48"/>
      <c r="G9" s="2"/>
      <c r="H9" s="56" t="s">
        <v>6</v>
      </c>
      <c r="I9" s="57"/>
      <c r="J9" s="57"/>
      <c r="K9" s="62" t="s">
        <v>7</v>
      </c>
      <c r="L9" s="65" t="s">
        <v>52</v>
      </c>
      <c r="M9" s="65"/>
      <c r="N9" s="65"/>
      <c r="O9" s="65"/>
      <c r="P9" s="66"/>
      <c r="R9" s="28">
        <v>3</v>
      </c>
      <c r="S9" s="28" t="s">
        <v>41</v>
      </c>
      <c r="T9" s="29" t="s">
        <v>100</v>
      </c>
      <c r="U9" s="17" t="s">
        <v>31</v>
      </c>
      <c r="V9" s="45"/>
      <c r="W9" t="s">
        <v>56</v>
      </c>
    </row>
    <row r="10" spans="1:25" ht="18" customHeight="1" thickBot="1" x14ac:dyDescent="0.35">
      <c r="A10" s="49"/>
      <c r="B10" s="50"/>
      <c r="C10" s="50"/>
      <c r="D10" s="50"/>
      <c r="E10" s="50"/>
      <c r="F10" s="51"/>
      <c r="G10" s="2"/>
      <c r="H10" s="58"/>
      <c r="I10" s="59"/>
      <c r="J10" s="59"/>
      <c r="K10" s="63"/>
      <c r="L10" s="67"/>
      <c r="M10" s="67"/>
      <c r="N10" s="67"/>
      <c r="O10" s="67"/>
      <c r="P10" s="68"/>
      <c r="R10" s="28">
        <v>4</v>
      </c>
      <c r="S10" s="28" t="s">
        <v>42</v>
      </c>
      <c r="T10" s="30" t="s">
        <v>34</v>
      </c>
      <c r="U10" s="17"/>
      <c r="V10" s="44" t="s">
        <v>48</v>
      </c>
      <c r="W10" t="s">
        <v>57</v>
      </c>
    </row>
    <row r="11" spans="1:25" ht="18" customHeight="1" thickBot="1" x14ac:dyDescent="0.35">
      <c r="A11" s="42"/>
      <c r="B11" s="42"/>
      <c r="C11" s="1"/>
      <c r="D11" s="2"/>
      <c r="E11" s="2"/>
      <c r="F11" s="2"/>
      <c r="G11" s="2"/>
      <c r="H11" s="60"/>
      <c r="I11" s="61"/>
      <c r="J11" s="61"/>
      <c r="K11" s="64"/>
      <c r="L11" s="69"/>
      <c r="M11" s="69"/>
      <c r="N11" s="69"/>
      <c r="O11" s="69"/>
      <c r="P11" s="70"/>
      <c r="R11" s="28">
        <v>5</v>
      </c>
      <c r="S11" s="28" t="s">
        <v>43</v>
      </c>
      <c r="T11" s="30" t="s">
        <v>35</v>
      </c>
      <c r="U11" s="17"/>
      <c r="V11" s="45"/>
      <c r="W11" t="s">
        <v>58</v>
      </c>
    </row>
    <row r="12" spans="1:25" ht="16.149999999999999" customHeight="1" x14ac:dyDescent="0.25">
      <c r="A12" s="103" t="s">
        <v>12</v>
      </c>
      <c r="B12" s="104"/>
      <c r="C12" s="105" t="s">
        <v>0</v>
      </c>
      <c r="D12" s="105"/>
      <c r="E12" s="105"/>
      <c r="F12" s="105"/>
      <c r="G12" s="105"/>
      <c r="H12" s="81" t="s">
        <v>1</v>
      </c>
      <c r="I12" s="82"/>
      <c r="J12" s="82"/>
      <c r="K12" s="82"/>
      <c r="L12" s="83"/>
      <c r="M12" s="84" t="s">
        <v>16</v>
      </c>
      <c r="N12" s="85"/>
      <c r="O12" s="86"/>
      <c r="P12" s="93" t="s">
        <v>3</v>
      </c>
      <c r="R12" s="28">
        <v>6</v>
      </c>
      <c r="S12" s="28" t="s">
        <v>44</v>
      </c>
      <c r="T12" s="30" t="s">
        <v>36</v>
      </c>
      <c r="U12" s="17"/>
      <c r="V12" s="45"/>
      <c r="W12" t="s">
        <v>67</v>
      </c>
    </row>
    <row r="13" spans="1:25" ht="16.149999999999999" customHeight="1" x14ac:dyDescent="0.25">
      <c r="A13" s="3" t="s">
        <v>13</v>
      </c>
      <c r="B13" s="33">
        <v>0</v>
      </c>
      <c r="C13" s="96" t="s">
        <v>14</v>
      </c>
      <c r="D13" s="96"/>
      <c r="E13" s="96"/>
      <c r="F13" s="96"/>
      <c r="G13" s="96"/>
      <c r="H13" s="97" t="s">
        <v>2</v>
      </c>
      <c r="I13" s="98"/>
      <c r="J13" s="99"/>
      <c r="K13" s="97" t="s">
        <v>15</v>
      </c>
      <c r="L13" s="99"/>
      <c r="M13" s="87"/>
      <c r="N13" s="88"/>
      <c r="O13" s="89"/>
      <c r="P13" s="94"/>
      <c r="R13" s="28">
        <v>7</v>
      </c>
      <c r="S13" s="28" t="s">
        <v>45</v>
      </c>
      <c r="T13" s="30" t="s">
        <v>37</v>
      </c>
      <c r="U13" s="12"/>
      <c r="V13" s="44" t="s">
        <v>49</v>
      </c>
      <c r="W13" t="s">
        <v>59</v>
      </c>
    </row>
    <row r="14" spans="1:25" ht="16.149999999999999" customHeight="1" thickBot="1" x14ac:dyDescent="0.3">
      <c r="A14" s="113" t="s">
        <v>11</v>
      </c>
      <c r="B14" s="114"/>
      <c r="C14" s="115" t="s">
        <v>66</v>
      </c>
      <c r="D14" s="116"/>
      <c r="E14" s="117" t="s">
        <v>88</v>
      </c>
      <c r="F14" s="118"/>
      <c r="G14" s="114"/>
      <c r="H14" s="100"/>
      <c r="I14" s="101"/>
      <c r="J14" s="102"/>
      <c r="K14" s="100"/>
      <c r="L14" s="102"/>
      <c r="M14" s="90"/>
      <c r="N14" s="91"/>
      <c r="O14" s="92"/>
      <c r="P14" s="95"/>
      <c r="R14" s="28">
        <v>8</v>
      </c>
      <c r="S14" s="28" t="s">
        <v>46</v>
      </c>
      <c r="T14" s="30" t="s">
        <v>38</v>
      </c>
      <c r="U14" s="12"/>
      <c r="V14" s="45"/>
      <c r="W14" t="s">
        <v>60</v>
      </c>
    </row>
    <row r="15" spans="1:25" ht="25.15" customHeight="1" x14ac:dyDescent="0.25">
      <c r="A15" s="31"/>
      <c r="B15" s="119" t="s">
        <v>270</v>
      </c>
      <c r="C15" s="119"/>
      <c r="D15" s="119"/>
      <c r="E15" s="119"/>
      <c r="F15" s="119"/>
      <c r="G15" s="119"/>
      <c r="H15" s="120">
        <v>5</v>
      </c>
      <c r="I15" s="121"/>
      <c r="J15" s="122"/>
      <c r="K15" s="123">
        <v>479</v>
      </c>
      <c r="L15" s="124"/>
      <c r="M15" s="106" t="s">
        <v>262</v>
      </c>
      <c r="N15" s="107"/>
      <c r="O15" s="108"/>
      <c r="P15" s="34"/>
      <c r="R15" s="28">
        <v>9</v>
      </c>
      <c r="S15" s="28" t="s">
        <v>96</v>
      </c>
      <c r="T15" s="30" t="s">
        <v>93</v>
      </c>
      <c r="U15" s="12"/>
      <c r="V15" s="45"/>
      <c r="W15" t="s">
        <v>61</v>
      </c>
    </row>
    <row r="16" spans="1:25" ht="25.15" customHeight="1" x14ac:dyDescent="0.25">
      <c r="A16" s="32"/>
      <c r="B16" s="109" t="s">
        <v>271</v>
      </c>
      <c r="C16" s="109"/>
      <c r="D16" s="109"/>
      <c r="E16" s="109"/>
      <c r="F16" s="109"/>
      <c r="G16" s="109"/>
      <c r="H16" s="110">
        <v>1</v>
      </c>
      <c r="I16" s="110"/>
      <c r="J16" s="110"/>
      <c r="K16" s="111">
        <v>24</v>
      </c>
      <c r="L16" s="111"/>
      <c r="M16" s="112" t="s">
        <v>254</v>
      </c>
      <c r="N16" s="112"/>
      <c r="O16" s="112"/>
      <c r="P16" s="35"/>
      <c r="R16" s="28">
        <v>10</v>
      </c>
      <c r="S16" s="28" t="s">
        <v>98</v>
      </c>
      <c r="T16" s="30" t="s">
        <v>94</v>
      </c>
      <c r="U16" s="12"/>
      <c r="V16" s="44" t="s">
        <v>50</v>
      </c>
      <c r="W16" t="s">
        <v>62</v>
      </c>
    </row>
    <row r="17" spans="1:23" ht="25.15" customHeight="1" x14ac:dyDescent="0.25">
      <c r="A17" s="32"/>
      <c r="B17" s="109" t="s">
        <v>187</v>
      </c>
      <c r="C17" s="109"/>
      <c r="D17" s="109"/>
      <c r="E17" s="109"/>
      <c r="F17" s="109"/>
      <c r="G17" s="109"/>
      <c r="H17" s="110">
        <v>3</v>
      </c>
      <c r="I17" s="110"/>
      <c r="J17" s="110"/>
      <c r="K17" s="111">
        <v>118</v>
      </c>
      <c r="L17" s="111"/>
      <c r="M17" s="112" t="s">
        <v>258</v>
      </c>
      <c r="N17" s="112"/>
      <c r="O17" s="112"/>
      <c r="P17" s="35"/>
      <c r="R17" s="28">
        <v>11</v>
      </c>
      <c r="S17" s="28" t="s">
        <v>97</v>
      </c>
      <c r="T17" s="30" t="s">
        <v>95</v>
      </c>
      <c r="U17" s="12"/>
      <c r="V17" s="45"/>
      <c r="W17" t="s">
        <v>63</v>
      </c>
    </row>
    <row r="18" spans="1:23" ht="25.15" customHeight="1" x14ac:dyDescent="0.25">
      <c r="A18" s="32"/>
      <c r="B18" s="109" t="s">
        <v>126</v>
      </c>
      <c r="C18" s="109"/>
      <c r="D18" s="109"/>
      <c r="E18" s="109"/>
      <c r="F18" s="109"/>
      <c r="G18" s="109"/>
      <c r="H18" s="110">
        <v>1</v>
      </c>
      <c r="I18" s="110"/>
      <c r="J18" s="110"/>
      <c r="K18" s="111">
        <v>63</v>
      </c>
      <c r="L18" s="111"/>
      <c r="M18" s="112" t="s">
        <v>254</v>
      </c>
      <c r="N18" s="112"/>
      <c r="O18" s="112"/>
      <c r="P18" s="35"/>
      <c r="R18" s="28">
        <v>12</v>
      </c>
      <c r="S18" s="28" t="s">
        <v>101</v>
      </c>
      <c r="T18" s="30" t="s">
        <v>102</v>
      </c>
      <c r="U18" s="12"/>
      <c r="V18" s="45"/>
      <c r="W18" t="s">
        <v>64</v>
      </c>
    </row>
    <row r="19" spans="1:23" ht="25.15" customHeight="1" x14ac:dyDescent="0.25">
      <c r="A19" s="32"/>
      <c r="B19" s="109" t="s">
        <v>148</v>
      </c>
      <c r="C19" s="109"/>
      <c r="D19" s="109"/>
      <c r="E19" s="109"/>
      <c r="F19" s="109"/>
      <c r="G19" s="109"/>
      <c r="H19" s="110">
        <v>5</v>
      </c>
      <c r="I19" s="110"/>
      <c r="J19" s="110"/>
      <c r="K19" s="111">
        <v>377</v>
      </c>
      <c r="L19" s="111"/>
      <c r="M19" s="112" t="s">
        <v>272</v>
      </c>
      <c r="N19" s="112"/>
      <c r="O19" s="112"/>
      <c r="P19" s="35"/>
      <c r="R19" s="28">
        <v>13</v>
      </c>
      <c r="S19" s="28" t="s">
        <v>104</v>
      </c>
      <c r="T19" s="30" t="s">
        <v>103</v>
      </c>
      <c r="U19" s="12"/>
      <c r="V19" s="44" t="s">
        <v>51</v>
      </c>
      <c r="W19" t="s">
        <v>65</v>
      </c>
    </row>
    <row r="20" spans="1:23" ht="25.15" customHeight="1" x14ac:dyDescent="0.25">
      <c r="A20" s="32"/>
      <c r="B20" s="109" t="s">
        <v>273</v>
      </c>
      <c r="C20" s="109"/>
      <c r="D20" s="109"/>
      <c r="E20" s="109"/>
      <c r="F20" s="109"/>
      <c r="G20" s="109"/>
      <c r="H20" s="110">
        <v>1</v>
      </c>
      <c r="I20" s="110"/>
      <c r="J20" s="110"/>
      <c r="K20" s="111">
        <v>105</v>
      </c>
      <c r="L20" s="111"/>
      <c r="M20" s="125" t="s">
        <v>254</v>
      </c>
      <c r="N20" s="112"/>
      <c r="O20" s="112"/>
      <c r="P20" s="35"/>
      <c r="R20" s="28">
        <v>14</v>
      </c>
      <c r="S20" s="28" t="s">
        <v>105</v>
      </c>
      <c r="T20" s="30" t="s">
        <v>106</v>
      </c>
      <c r="U20" s="12"/>
      <c r="V20" s="45"/>
      <c r="W20" t="s">
        <v>66</v>
      </c>
    </row>
    <row r="21" spans="1:23" ht="25.15" customHeight="1" x14ac:dyDescent="0.25">
      <c r="A21" s="32"/>
      <c r="B21" s="109" t="s">
        <v>274</v>
      </c>
      <c r="C21" s="109"/>
      <c r="D21" s="109"/>
      <c r="E21" s="109"/>
      <c r="F21" s="109"/>
      <c r="G21" s="109"/>
      <c r="H21" s="110">
        <v>1</v>
      </c>
      <c r="I21" s="110"/>
      <c r="J21" s="110"/>
      <c r="K21" s="111">
        <v>64</v>
      </c>
      <c r="L21" s="111"/>
      <c r="M21" s="112" t="s">
        <v>254</v>
      </c>
      <c r="N21" s="112"/>
      <c r="O21" s="112"/>
      <c r="P21" s="35"/>
      <c r="R21" s="28">
        <v>15</v>
      </c>
      <c r="S21" s="28" t="s">
        <v>108</v>
      </c>
      <c r="T21" s="30" t="s">
        <v>107</v>
      </c>
      <c r="U21" s="12"/>
      <c r="V21" s="45"/>
      <c r="W21" t="s">
        <v>68</v>
      </c>
    </row>
    <row r="22" spans="1:23" ht="25.15" customHeight="1" x14ac:dyDescent="0.25">
      <c r="A22" s="32"/>
      <c r="B22" s="109"/>
      <c r="C22" s="109"/>
      <c r="D22" s="109"/>
      <c r="E22" s="109"/>
      <c r="F22" s="109"/>
      <c r="G22" s="109"/>
      <c r="H22" s="110"/>
      <c r="I22" s="110"/>
      <c r="J22" s="110"/>
      <c r="K22" s="111"/>
      <c r="L22" s="111"/>
      <c r="M22" s="112"/>
      <c r="N22" s="112"/>
      <c r="O22" s="112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09"/>
      <c r="C23" s="109"/>
      <c r="D23" s="109"/>
      <c r="E23" s="109"/>
      <c r="F23" s="109"/>
      <c r="G23" s="109"/>
      <c r="H23" s="110"/>
      <c r="I23" s="110"/>
      <c r="J23" s="110"/>
      <c r="K23" s="111"/>
      <c r="L23" s="111"/>
      <c r="M23" s="112"/>
      <c r="N23" s="112"/>
      <c r="O23" s="112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09"/>
      <c r="C24" s="109"/>
      <c r="D24" s="109"/>
      <c r="E24" s="109"/>
      <c r="F24" s="109"/>
      <c r="G24" s="109"/>
      <c r="H24" s="110"/>
      <c r="I24" s="110"/>
      <c r="J24" s="110"/>
      <c r="K24" s="111"/>
      <c r="L24" s="111"/>
      <c r="M24" s="112"/>
      <c r="N24" s="112"/>
      <c r="O24" s="112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09"/>
      <c r="C25" s="109"/>
      <c r="D25" s="109"/>
      <c r="E25" s="109"/>
      <c r="F25" s="109"/>
      <c r="G25" s="109"/>
      <c r="H25" s="110"/>
      <c r="I25" s="110"/>
      <c r="J25" s="110"/>
      <c r="K25" s="111"/>
      <c r="L25" s="111"/>
      <c r="M25" s="112"/>
      <c r="N25" s="112"/>
      <c r="O25" s="112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09"/>
      <c r="C26" s="109"/>
      <c r="D26" s="109"/>
      <c r="E26" s="109"/>
      <c r="F26" s="109"/>
      <c r="G26" s="109"/>
      <c r="H26" s="110"/>
      <c r="I26" s="110"/>
      <c r="J26" s="110"/>
      <c r="K26" s="111"/>
      <c r="L26" s="111"/>
      <c r="M26" s="112"/>
      <c r="N26" s="112"/>
      <c r="O26" s="112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09"/>
      <c r="C27" s="109"/>
      <c r="D27" s="109"/>
      <c r="E27" s="109"/>
      <c r="F27" s="109"/>
      <c r="G27" s="109"/>
      <c r="H27" s="110"/>
      <c r="I27" s="110"/>
      <c r="J27" s="110"/>
      <c r="K27" s="111"/>
      <c r="L27" s="111"/>
      <c r="M27" s="112"/>
      <c r="N27" s="112"/>
      <c r="O27" s="112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09"/>
      <c r="C28" s="109"/>
      <c r="D28" s="109"/>
      <c r="E28" s="109"/>
      <c r="F28" s="109"/>
      <c r="G28" s="109"/>
      <c r="H28" s="110"/>
      <c r="I28" s="110"/>
      <c r="J28" s="110"/>
      <c r="K28" s="111"/>
      <c r="L28" s="111"/>
      <c r="M28" s="112"/>
      <c r="N28" s="112"/>
      <c r="O28" s="112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09"/>
      <c r="C29" s="109"/>
      <c r="D29" s="109"/>
      <c r="E29" s="109"/>
      <c r="F29" s="109"/>
      <c r="G29" s="109"/>
      <c r="H29" s="110"/>
      <c r="I29" s="110"/>
      <c r="J29" s="110"/>
      <c r="K29" s="111"/>
      <c r="L29" s="111"/>
      <c r="M29" s="112"/>
      <c r="N29" s="112"/>
      <c r="O29" s="112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09"/>
      <c r="C30" s="109"/>
      <c r="D30" s="109"/>
      <c r="E30" s="109"/>
      <c r="F30" s="109"/>
      <c r="G30" s="109"/>
      <c r="H30" s="110"/>
      <c r="I30" s="110"/>
      <c r="J30" s="110"/>
      <c r="K30" s="111"/>
      <c r="L30" s="111"/>
      <c r="M30" s="112"/>
      <c r="N30" s="112"/>
      <c r="O30" s="112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09"/>
      <c r="C31" s="109"/>
      <c r="D31" s="109"/>
      <c r="E31" s="109"/>
      <c r="F31" s="109"/>
      <c r="G31" s="109"/>
      <c r="H31" s="110"/>
      <c r="I31" s="110"/>
      <c r="J31" s="110"/>
      <c r="K31" s="111"/>
      <c r="L31" s="111"/>
      <c r="M31" s="112"/>
      <c r="N31" s="112"/>
      <c r="O31" s="112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09"/>
      <c r="C32" s="109"/>
      <c r="D32" s="109"/>
      <c r="E32" s="109"/>
      <c r="F32" s="109"/>
      <c r="G32" s="109"/>
      <c r="H32" s="110"/>
      <c r="I32" s="110"/>
      <c r="J32" s="110"/>
      <c r="K32" s="111"/>
      <c r="L32" s="111"/>
      <c r="M32" s="112"/>
      <c r="N32" s="112"/>
      <c r="O32" s="112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09"/>
      <c r="C33" s="109"/>
      <c r="D33" s="109"/>
      <c r="E33" s="109"/>
      <c r="F33" s="109"/>
      <c r="G33" s="109"/>
      <c r="H33" s="110"/>
      <c r="I33" s="110"/>
      <c r="J33" s="110"/>
      <c r="K33" s="111"/>
      <c r="L33" s="111"/>
      <c r="M33" s="112"/>
      <c r="N33" s="112"/>
      <c r="O33" s="112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09"/>
      <c r="C34" s="109"/>
      <c r="D34" s="109"/>
      <c r="E34" s="109"/>
      <c r="F34" s="109"/>
      <c r="G34" s="109"/>
      <c r="H34" s="110"/>
      <c r="I34" s="110"/>
      <c r="J34" s="110"/>
      <c r="K34" s="111"/>
      <c r="L34" s="111"/>
      <c r="M34" s="112"/>
      <c r="N34" s="112"/>
      <c r="O34" s="112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26" t="s">
        <v>17</v>
      </c>
      <c r="B35" s="127"/>
      <c r="C35" s="127"/>
      <c r="D35" s="127"/>
      <c r="E35" s="127"/>
      <c r="F35" s="127"/>
      <c r="G35" s="116"/>
      <c r="H35" s="128">
        <f>SUM(H15:J34)</f>
        <v>17</v>
      </c>
      <c r="I35" s="129"/>
      <c r="J35" s="130"/>
      <c r="K35" s="131">
        <f>SUM(K15:L34)</f>
        <v>1230</v>
      </c>
      <c r="L35" s="132"/>
      <c r="M35" s="133"/>
      <c r="N35" s="134"/>
      <c r="O35" s="135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37" t="s">
        <v>22</v>
      </c>
      <c r="B37" s="138"/>
      <c r="C37" s="138"/>
      <c r="D37" s="139" t="s">
        <v>294</v>
      </c>
      <c r="E37" s="139"/>
      <c r="F37" s="139"/>
      <c r="G37" s="138" t="s">
        <v>23</v>
      </c>
      <c r="H37" s="138"/>
      <c r="I37" s="138"/>
      <c r="J37" s="138"/>
      <c r="K37" s="138"/>
      <c r="L37" s="138"/>
      <c r="M37" s="140" t="s">
        <v>292</v>
      </c>
      <c r="N37" s="140"/>
      <c r="O37" s="140"/>
      <c r="P37" s="141"/>
      <c r="R37" s="23"/>
      <c r="S37" s="24"/>
      <c r="T37" s="21"/>
      <c r="W37" t="s">
        <v>84</v>
      </c>
    </row>
    <row r="38" spans="1:23" ht="31.9" customHeight="1" x14ac:dyDescent="0.25">
      <c r="A38" s="142" t="s">
        <v>24</v>
      </c>
      <c r="B38" s="143"/>
      <c r="C38" s="143"/>
      <c r="D38" s="144" t="s">
        <v>293</v>
      </c>
      <c r="E38" s="144"/>
      <c r="F38" s="144"/>
      <c r="G38" s="143" t="s">
        <v>25</v>
      </c>
      <c r="H38" s="143"/>
      <c r="I38" s="143"/>
      <c r="J38" s="143"/>
      <c r="K38" s="143"/>
      <c r="L38" s="143"/>
      <c r="M38" s="145" t="s">
        <v>291</v>
      </c>
      <c r="N38" s="145"/>
      <c r="O38" s="145"/>
      <c r="P38" s="146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36" t="s">
        <v>18</v>
      </c>
      <c r="B40" s="136"/>
      <c r="C40" s="136"/>
      <c r="D40" s="4"/>
      <c r="E40" s="4"/>
      <c r="F40" s="136" t="s">
        <v>19</v>
      </c>
      <c r="G40" s="136"/>
      <c r="H40" s="36"/>
      <c r="I40" s="36"/>
      <c r="J40" s="36"/>
      <c r="K40" s="4"/>
      <c r="L40" s="136" t="s">
        <v>20</v>
      </c>
      <c r="M40" s="136"/>
      <c r="N40" s="136"/>
      <c r="O40" s="136"/>
      <c r="P40" s="136"/>
      <c r="W40" t="s">
        <v>87</v>
      </c>
    </row>
    <row r="41" spans="1:23" ht="8.25" customHeight="1" x14ac:dyDescent="0.25"/>
    <row r="42" spans="1:23" ht="36.75" customHeight="1" x14ac:dyDescent="0.25">
      <c r="A42" s="37"/>
      <c r="B42" s="37"/>
      <c r="C42" s="37"/>
      <c r="D42" s="38" t="s">
        <v>27</v>
      </c>
      <c r="E42" s="38"/>
      <c r="F42" s="38"/>
      <c r="G42" s="38"/>
      <c r="H42" s="38"/>
      <c r="I42" s="38"/>
      <c r="J42" s="38"/>
      <c r="K42" s="38"/>
      <c r="L42" s="38"/>
      <c r="M42" s="39" t="str">
        <f>M2</f>
        <v>FORM STR 03
REVISION NO 01</v>
      </c>
      <c r="N42" s="39"/>
      <c r="O42" s="39"/>
      <c r="P42" s="39"/>
      <c r="Q42" s="10"/>
      <c r="W42" t="s">
        <v>111</v>
      </c>
    </row>
    <row r="43" spans="1:23" ht="22.15" customHeight="1" x14ac:dyDescent="0.25">
      <c r="A43" s="37"/>
      <c r="B43" s="37"/>
      <c r="C43" s="37"/>
      <c r="D43" s="38"/>
      <c r="E43" s="38"/>
      <c r="F43" s="38"/>
      <c r="G43" s="38"/>
      <c r="H43" s="38"/>
      <c r="I43" s="38"/>
      <c r="J43" s="38"/>
      <c r="K43" s="38"/>
      <c r="L43" s="38"/>
      <c r="M43" s="39"/>
      <c r="N43" s="39"/>
      <c r="O43" s="39"/>
      <c r="P43" s="39"/>
      <c r="Q43" s="10"/>
    </row>
    <row r="44" spans="1:23" ht="17.45" customHeight="1" x14ac:dyDescent="0.25">
      <c r="A44" s="40"/>
      <c r="B44" s="40"/>
      <c r="C44" s="40"/>
      <c r="D44" s="41" t="s">
        <v>21</v>
      </c>
      <c r="E44" s="41"/>
      <c r="F44" s="41"/>
      <c r="G44" s="41"/>
      <c r="H44" s="41"/>
      <c r="I44" s="41"/>
      <c r="J44" s="41"/>
      <c r="K44" s="41"/>
      <c r="L44" s="41"/>
      <c r="M44" s="11"/>
    </row>
    <row r="45" spans="1:23" ht="22.15" customHeight="1" thickBot="1" x14ac:dyDescent="0.35">
      <c r="A45" s="42"/>
      <c r="B45" s="42"/>
      <c r="C45" s="1"/>
      <c r="D45" s="43" t="s">
        <v>90</v>
      </c>
      <c r="E45" s="43"/>
      <c r="F45" s="43"/>
      <c r="G45" s="43"/>
      <c r="H45" s="43"/>
      <c r="I45" s="43"/>
      <c r="J45" s="43"/>
      <c r="K45" s="43"/>
      <c r="L45" s="43"/>
      <c r="M45" s="2"/>
      <c r="N45" s="37"/>
      <c r="O45" s="37"/>
      <c r="P45" s="37"/>
    </row>
    <row r="46" spans="1:23" ht="15.6" customHeight="1" thickBot="1" x14ac:dyDescent="0.35">
      <c r="A46" s="71" t="s">
        <v>9</v>
      </c>
      <c r="B46" s="72"/>
      <c r="C46" s="73" t="str">
        <f>C6</f>
        <v>O547</v>
      </c>
      <c r="D46" s="73"/>
      <c r="E46" s="73"/>
      <c r="F46" s="74"/>
      <c r="G46" s="2"/>
      <c r="H46" s="75" t="s">
        <v>4</v>
      </c>
      <c r="I46" s="76"/>
      <c r="J46" s="76"/>
      <c r="K46" s="8" t="s">
        <v>7</v>
      </c>
      <c r="L46" s="77" t="str">
        <f>L6</f>
        <v>JP 523807</v>
      </c>
      <c r="M46" s="77"/>
      <c r="N46" s="77"/>
      <c r="O46" s="77"/>
      <c r="P46" s="78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52" t="s">
        <v>5</v>
      </c>
      <c r="I47" s="53"/>
      <c r="J47" s="53"/>
      <c r="K47" s="9" t="s">
        <v>7</v>
      </c>
      <c r="L47" s="79">
        <f>L7</f>
        <v>45687</v>
      </c>
      <c r="M47" s="79"/>
      <c r="N47" s="79"/>
      <c r="O47" s="79"/>
      <c r="P47" s="80"/>
      <c r="R47" s="88"/>
      <c r="S47" s="88"/>
      <c r="T47" s="147"/>
      <c r="U47" s="26"/>
      <c r="V47" s="147"/>
    </row>
    <row r="48" spans="1:23" ht="18" customHeight="1" x14ac:dyDescent="0.3">
      <c r="A48" s="46" t="str">
        <f>A8</f>
        <v>KDS Logistics Ltd.
Ghoramara, Sonalchari, Sitakunda
Chattogram 4318, Bangladesh.</v>
      </c>
      <c r="B48" s="47"/>
      <c r="C48" s="47"/>
      <c r="D48" s="47"/>
      <c r="E48" s="47"/>
      <c r="F48" s="48"/>
      <c r="G48" s="2"/>
      <c r="H48" s="52" t="s">
        <v>8</v>
      </c>
      <c r="I48" s="53"/>
      <c r="J48" s="53"/>
      <c r="K48" s="9" t="s">
        <v>7</v>
      </c>
      <c r="L48" s="54" t="str">
        <f>L8</f>
        <v>SEA</v>
      </c>
      <c r="M48" s="54"/>
      <c r="N48" s="54"/>
      <c r="O48" s="54"/>
      <c r="P48" s="55"/>
      <c r="R48" s="88"/>
      <c r="S48" s="88"/>
      <c r="T48" s="148"/>
      <c r="U48" s="26"/>
      <c r="V48" s="148"/>
    </row>
    <row r="49" spans="1:22" ht="17.45" customHeight="1" x14ac:dyDescent="0.3">
      <c r="A49" s="46"/>
      <c r="B49" s="47"/>
      <c r="C49" s="47"/>
      <c r="D49" s="47"/>
      <c r="E49" s="47"/>
      <c r="F49" s="48"/>
      <c r="G49" s="2"/>
      <c r="H49" s="56" t="s">
        <v>6</v>
      </c>
      <c r="I49" s="57"/>
      <c r="J49" s="57"/>
      <c r="K49" s="62" t="s">
        <v>7</v>
      </c>
      <c r="L49" s="65" t="str">
        <f>L9</f>
        <v>M/S. Kabir &amp; Co.
1104DT Road West Madarbari,
Chattogram, Bangladesh.</v>
      </c>
      <c r="M49" s="65"/>
      <c r="N49" s="65"/>
      <c r="O49" s="65"/>
      <c r="P49" s="66"/>
      <c r="R49" s="88"/>
      <c r="S49" s="88"/>
      <c r="T49" s="148"/>
      <c r="U49" s="26"/>
      <c r="V49" s="148"/>
    </row>
    <row r="50" spans="1:22" ht="18" thickBot="1" x14ac:dyDescent="0.35">
      <c r="A50" s="49"/>
      <c r="B50" s="50"/>
      <c r="C50" s="50"/>
      <c r="D50" s="50"/>
      <c r="E50" s="50"/>
      <c r="F50" s="51"/>
      <c r="G50" s="2"/>
      <c r="H50" s="58"/>
      <c r="I50" s="59"/>
      <c r="J50" s="59"/>
      <c r="K50" s="63"/>
      <c r="L50" s="67"/>
      <c r="M50" s="67"/>
      <c r="N50" s="67"/>
      <c r="O50" s="67"/>
      <c r="P50" s="68"/>
      <c r="R50" s="88"/>
      <c r="S50" s="88"/>
      <c r="T50" s="147"/>
      <c r="U50" s="26"/>
      <c r="V50" s="147"/>
    </row>
    <row r="51" spans="1:22" ht="18" customHeight="1" thickBot="1" x14ac:dyDescent="0.35">
      <c r="A51" s="42"/>
      <c r="B51" s="42"/>
      <c r="C51" s="1"/>
      <c r="D51" s="2"/>
      <c r="E51" s="2"/>
      <c r="F51" s="2"/>
      <c r="G51" s="2"/>
      <c r="H51" s="60"/>
      <c r="I51" s="61"/>
      <c r="J51" s="61"/>
      <c r="K51" s="64"/>
      <c r="L51" s="69"/>
      <c r="M51" s="69"/>
      <c r="N51" s="69"/>
      <c r="O51" s="69"/>
      <c r="P51" s="70"/>
      <c r="R51" s="88"/>
      <c r="S51" s="88"/>
      <c r="T51" s="147"/>
      <c r="U51" s="26"/>
      <c r="V51" s="148"/>
    </row>
    <row r="52" spans="1:22" ht="16.149999999999999" customHeight="1" x14ac:dyDescent="0.25">
      <c r="A52" s="103" t="s">
        <v>12</v>
      </c>
      <c r="B52" s="104"/>
      <c r="C52" s="105" t="s">
        <v>0</v>
      </c>
      <c r="D52" s="105"/>
      <c r="E52" s="105"/>
      <c r="F52" s="105"/>
      <c r="G52" s="105"/>
      <c r="H52" s="81" t="s">
        <v>1</v>
      </c>
      <c r="I52" s="82"/>
      <c r="J52" s="82"/>
      <c r="K52" s="82"/>
      <c r="L52" s="83"/>
      <c r="M52" s="84" t="s">
        <v>16</v>
      </c>
      <c r="N52" s="85"/>
      <c r="O52" s="86"/>
      <c r="P52" s="93" t="s">
        <v>3</v>
      </c>
      <c r="R52" s="88"/>
      <c r="S52" s="88"/>
      <c r="T52" s="147"/>
      <c r="U52" s="26"/>
      <c r="V52" s="148"/>
    </row>
    <row r="53" spans="1:22" ht="16.149999999999999" customHeight="1" x14ac:dyDescent="0.25">
      <c r="A53" s="3" t="s">
        <v>13</v>
      </c>
      <c r="B53" s="33">
        <f>B13</f>
        <v>0</v>
      </c>
      <c r="C53" s="96" t="str">
        <f>C13</f>
        <v>Delivery of Readymade Garments</v>
      </c>
      <c r="D53" s="96"/>
      <c r="E53" s="96"/>
      <c r="F53" s="96"/>
      <c r="G53" s="96"/>
      <c r="H53" s="97" t="s">
        <v>2</v>
      </c>
      <c r="I53" s="98"/>
      <c r="J53" s="99"/>
      <c r="K53" s="97" t="s">
        <v>15</v>
      </c>
      <c r="L53" s="99"/>
      <c r="M53" s="87"/>
      <c r="N53" s="88"/>
      <c r="O53" s="89"/>
      <c r="P53" s="94"/>
      <c r="R53" s="88"/>
      <c r="S53" s="88"/>
      <c r="T53" s="147"/>
      <c r="V53" s="147"/>
    </row>
    <row r="54" spans="1:22" ht="16.149999999999999" customHeight="1" thickBot="1" x14ac:dyDescent="0.3">
      <c r="A54" s="113" t="s">
        <v>11</v>
      </c>
      <c r="B54" s="114"/>
      <c r="C54" s="115" t="str">
        <f>C14</f>
        <v>H &amp; M</v>
      </c>
      <c r="D54" s="116"/>
      <c r="E54" s="117" t="s">
        <v>88</v>
      </c>
      <c r="F54" s="118"/>
      <c r="G54" s="114"/>
      <c r="H54" s="100"/>
      <c r="I54" s="101"/>
      <c r="J54" s="102"/>
      <c r="K54" s="100"/>
      <c r="L54" s="102"/>
      <c r="M54" s="90"/>
      <c r="N54" s="91"/>
      <c r="O54" s="92"/>
      <c r="P54" s="95"/>
      <c r="R54" s="88"/>
      <c r="S54" s="88"/>
      <c r="T54" s="147"/>
      <c r="V54" s="148"/>
    </row>
    <row r="55" spans="1:22" ht="25.15" customHeight="1" x14ac:dyDescent="0.25">
      <c r="A55" s="31">
        <f>A15</f>
        <v>0</v>
      </c>
      <c r="B55" s="119" t="str">
        <f>B15</f>
        <v>294223-5832</v>
      </c>
      <c r="C55" s="119"/>
      <c r="D55" s="119"/>
      <c r="E55" s="119"/>
      <c r="F55" s="119"/>
      <c r="G55" s="119"/>
      <c r="H55" s="120">
        <f>H15</f>
        <v>5</v>
      </c>
      <c r="I55" s="121"/>
      <c r="J55" s="122"/>
      <c r="K55" s="123">
        <f>K15</f>
        <v>479</v>
      </c>
      <c r="L55" s="124"/>
      <c r="M55" s="106" t="str">
        <f>M15</f>
        <v>MY</v>
      </c>
      <c r="N55" s="107"/>
      <c r="O55" s="108"/>
      <c r="P55" s="35">
        <f>P15</f>
        <v>0</v>
      </c>
      <c r="R55" s="88"/>
      <c r="S55" s="88"/>
      <c r="T55" s="147"/>
      <c r="V55" s="148"/>
    </row>
    <row r="56" spans="1:22" ht="25.15" customHeight="1" x14ac:dyDescent="0.25">
      <c r="A56" s="32">
        <f>A16</f>
        <v>0</v>
      </c>
      <c r="B56" s="109" t="str">
        <f>B16</f>
        <v>296214-5832</v>
      </c>
      <c r="C56" s="109"/>
      <c r="D56" s="109"/>
      <c r="E56" s="109"/>
      <c r="F56" s="109"/>
      <c r="G56" s="109"/>
      <c r="H56" s="110">
        <f>H16</f>
        <v>1</v>
      </c>
      <c r="I56" s="110"/>
      <c r="J56" s="110"/>
      <c r="K56" s="111">
        <f>K16</f>
        <v>24</v>
      </c>
      <c r="L56" s="111"/>
      <c r="M56" s="112" t="str">
        <f t="shared" ref="M56:M74" si="0">M16</f>
        <v>NH</v>
      </c>
      <c r="N56" s="112"/>
      <c r="O56" s="112"/>
      <c r="P56" s="35">
        <f>P16</f>
        <v>0</v>
      </c>
      <c r="R56" s="88"/>
      <c r="S56" s="88"/>
      <c r="T56" s="67"/>
      <c r="V56" s="147"/>
    </row>
    <row r="57" spans="1:22" ht="25.15" customHeight="1" x14ac:dyDescent="0.25">
      <c r="A57" s="32">
        <f t="shared" ref="A57:B72" si="1">A17</f>
        <v>0</v>
      </c>
      <c r="B57" s="109" t="str">
        <f t="shared" si="1"/>
        <v>327483-7952</v>
      </c>
      <c r="C57" s="109"/>
      <c r="D57" s="109"/>
      <c r="E57" s="109"/>
      <c r="F57" s="109"/>
      <c r="G57" s="109"/>
      <c r="H57" s="110">
        <f>H17</f>
        <v>3</v>
      </c>
      <c r="I57" s="110"/>
      <c r="J57" s="110"/>
      <c r="K57" s="111">
        <f>K17</f>
        <v>118</v>
      </c>
      <c r="L57" s="111"/>
      <c r="M57" s="112" t="str">
        <f t="shared" si="0"/>
        <v>LD</v>
      </c>
      <c r="N57" s="112"/>
      <c r="O57" s="112"/>
      <c r="P57" s="35">
        <f t="shared" ref="P57:P74" si="2">P17</f>
        <v>0</v>
      </c>
      <c r="R57" s="88"/>
      <c r="S57" s="88"/>
      <c r="T57" s="67"/>
      <c r="V57" s="148"/>
    </row>
    <row r="58" spans="1:22" ht="25.15" customHeight="1" x14ac:dyDescent="0.25">
      <c r="A58" s="32">
        <f t="shared" si="1"/>
        <v>0</v>
      </c>
      <c r="B58" s="109" t="str">
        <f t="shared" si="1"/>
        <v>307355-5832</v>
      </c>
      <c r="C58" s="109"/>
      <c r="D58" s="109"/>
      <c r="E58" s="109"/>
      <c r="F58" s="109"/>
      <c r="G58" s="109"/>
      <c r="H58" s="110">
        <f t="shared" ref="H58:H74" si="3">H18</f>
        <v>1</v>
      </c>
      <c r="I58" s="110"/>
      <c r="J58" s="110"/>
      <c r="K58" s="111">
        <f t="shared" ref="K58:K74" si="4">K18</f>
        <v>63</v>
      </c>
      <c r="L58" s="111"/>
      <c r="M58" s="112" t="str">
        <f t="shared" si="0"/>
        <v>NH</v>
      </c>
      <c r="N58" s="112"/>
      <c r="O58" s="112"/>
      <c r="P58" s="35">
        <f t="shared" si="2"/>
        <v>0</v>
      </c>
      <c r="R58" s="88"/>
      <c r="S58" s="88"/>
      <c r="T58" s="67"/>
      <c r="V58" s="148"/>
    </row>
    <row r="59" spans="1:22" ht="25.15" customHeight="1" x14ac:dyDescent="0.25">
      <c r="A59" s="32">
        <f t="shared" si="1"/>
        <v>0</v>
      </c>
      <c r="B59" s="109" t="str">
        <f t="shared" si="1"/>
        <v>324425-5832</v>
      </c>
      <c r="C59" s="109"/>
      <c r="D59" s="109"/>
      <c r="E59" s="109"/>
      <c r="F59" s="109"/>
      <c r="G59" s="109"/>
      <c r="H59" s="110">
        <f t="shared" si="3"/>
        <v>5</v>
      </c>
      <c r="I59" s="110"/>
      <c r="J59" s="110"/>
      <c r="K59" s="111">
        <f t="shared" si="4"/>
        <v>377</v>
      </c>
      <c r="L59" s="111"/>
      <c r="M59" s="112" t="str">
        <f t="shared" si="0"/>
        <v>MX</v>
      </c>
      <c r="N59" s="112"/>
      <c r="O59" s="112"/>
      <c r="P59" s="35">
        <f t="shared" si="2"/>
        <v>0</v>
      </c>
      <c r="R59" s="88"/>
      <c r="S59" s="88"/>
      <c r="T59" s="67"/>
      <c r="V59" s="147"/>
    </row>
    <row r="60" spans="1:22" ht="25.15" customHeight="1" x14ac:dyDescent="0.25">
      <c r="A60" s="32">
        <f t="shared" si="1"/>
        <v>0</v>
      </c>
      <c r="B60" s="109" t="str">
        <f t="shared" si="1"/>
        <v>300718-5832</v>
      </c>
      <c r="C60" s="109"/>
      <c r="D60" s="109"/>
      <c r="E60" s="109"/>
      <c r="F60" s="109"/>
      <c r="G60" s="109"/>
      <c r="H60" s="110">
        <f t="shared" si="3"/>
        <v>1</v>
      </c>
      <c r="I60" s="110"/>
      <c r="J60" s="110"/>
      <c r="K60" s="111">
        <f t="shared" si="4"/>
        <v>105</v>
      </c>
      <c r="L60" s="111"/>
      <c r="M60" s="112" t="str">
        <f t="shared" si="0"/>
        <v>NH</v>
      </c>
      <c r="N60" s="112"/>
      <c r="O60" s="112"/>
      <c r="P60" s="35">
        <f t="shared" si="2"/>
        <v>0</v>
      </c>
      <c r="R60" s="88"/>
      <c r="S60" s="88"/>
      <c r="T60" s="67"/>
      <c r="V60" s="148"/>
    </row>
    <row r="61" spans="1:22" ht="25.15" customHeight="1" x14ac:dyDescent="0.25">
      <c r="A61" s="32">
        <f t="shared" si="1"/>
        <v>0</v>
      </c>
      <c r="B61" s="109" t="str">
        <f t="shared" si="1"/>
        <v>300719-5832</v>
      </c>
      <c r="C61" s="109"/>
      <c r="D61" s="109"/>
      <c r="E61" s="109"/>
      <c r="F61" s="109"/>
      <c r="G61" s="109"/>
      <c r="H61" s="110">
        <f t="shared" si="3"/>
        <v>1</v>
      </c>
      <c r="I61" s="110"/>
      <c r="J61" s="110"/>
      <c r="K61" s="111">
        <f t="shared" si="4"/>
        <v>64</v>
      </c>
      <c r="L61" s="111"/>
      <c r="M61" s="112" t="str">
        <f t="shared" si="0"/>
        <v>NH</v>
      </c>
      <c r="N61" s="112"/>
      <c r="O61" s="112"/>
      <c r="P61" s="35">
        <f t="shared" si="2"/>
        <v>0</v>
      </c>
      <c r="R61" s="88"/>
      <c r="S61" s="88"/>
      <c r="T61" s="67"/>
      <c r="V61" s="148"/>
    </row>
    <row r="62" spans="1:22" ht="25.15" customHeight="1" x14ac:dyDescent="0.25">
      <c r="A62" s="32">
        <f t="shared" si="1"/>
        <v>0</v>
      </c>
      <c r="B62" s="109">
        <f t="shared" si="1"/>
        <v>0</v>
      </c>
      <c r="C62" s="109"/>
      <c r="D62" s="109"/>
      <c r="E62" s="109"/>
      <c r="F62" s="109"/>
      <c r="G62" s="109"/>
      <c r="H62" s="110">
        <f t="shared" si="3"/>
        <v>0</v>
      </c>
      <c r="I62" s="110"/>
      <c r="J62" s="110"/>
      <c r="K62" s="111">
        <f t="shared" si="4"/>
        <v>0</v>
      </c>
      <c r="L62" s="111"/>
      <c r="M62" s="112">
        <f t="shared" si="0"/>
        <v>0</v>
      </c>
      <c r="N62" s="112"/>
      <c r="O62" s="112"/>
      <c r="P62" s="35">
        <f t="shared" si="2"/>
        <v>0</v>
      </c>
      <c r="R62" s="88"/>
      <c r="S62" s="88"/>
      <c r="T62" s="67"/>
    </row>
    <row r="63" spans="1:22" ht="25.15" customHeight="1" x14ac:dyDescent="0.25">
      <c r="A63" s="32">
        <f t="shared" si="1"/>
        <v>0</v>
      </c>
      <c r="B63" s="109">
        <f t="shared" si="1"/>
        <v>0</v>
      </c>
      <c r="C63" s="109"/>
      <c r="D63" s="109"/>
      <c r="E63" s="109"/>
      <c r="F63" s="109"/>
      <c r="G63" s="109"/>
      <c r="H63" s="110">
        <f t="shared" si="3"/>
        <v>0</v>
      </c>
      <c r="I63" s="110"/>
      <c r="J63" s="110"/>
      <c r="K63" s="111">
        <f t="shared" si="4"/>
        <v>0</v>
      </c>
      <c r="L63" s="111"/>
      <c r="M63" s="112">
        <f t="shared" si="0"/>
        <v>0</v>
      </c>
      <c r="N63" s="112"/>
      <c r="O63" s="112"/>
      <c r="P63" s="35">
        <f t="shared" si="2"/>
        <v>0</v>
      </c>
      <c r="R63" s="88"/>
      <c r="S63" s="88"/>
      <c r="T63" s="67"/>
    </row>
    <row r="64" spans="1:22" ht="25.15" customHeight="1" x14ac:dyDescent="0.25">
      <c r="A64" s="32">
        <f t="shared" si="1"/>
        <v>0</v>
      </c>
      <c r="B64" s="109">
        <f t="shared" si="1"/>
        <v>0</v>
      </c>
      <c r="C64" s="109"/>
      <c r="D64" s="109"/>
      <c r="E64" s="109"/>
      <c r="F64" s="109"/>
      <c r="G64" s="109"/>
      <c r="H64" s="110">
        <f t="shared" si="3"/>
        <v>0</v>
      </c>
      <c r="I64" s="110"/>
      <c r="J64" s="110"/>
      <c r="K64" s="111">
        <f t="shared" si="4"/>
        <v>0</v>
      </c>
      <c r="L64" s="111"/>
      <c r="M64" s="112">
        <f t="shared" si="0"/>
        <v>0</v>
      </c>
      <c r="N64" s="112"/>
      <c r="O64" s="112"/>
      <c r="P64" s="35">
        <f t="shared" si="2"/>
        <v>0</v>
      </c>
      <c r="R64" s="88"/>
      <c r="S64" s="88"/>
      <c r="T64" s="67"/>
    </row>
    <row r="65" spans="1:20" ht="25.15" customHeight="1" x14ac:dyDescent="0.25">
      <c r="A65" s="32">
        <f t="shared" si="1"/>
        <v>0</v>
      </c>
      <c r="B65" s="109">
        <f t="shared" si="1"/>
        <v>0</v>
      </c>
      <c r="C65" s="109"/>
      <c r="D65" s="109"/>
      <c r="E65" s="109"/>
      <c r="F65" s="109"/>
      <c r="G65" s="109"/>
      <c r="H65" s="110">
        <f t="shared" si="3"/>
        <v>0</v>
      </c>
      <c r="I65" s="110"/>
      <c r="J65" s="110"/>
      <c r="K65" s="111">
        <f t="shared" si="4"/>
        <v>0</v>
      </c>
      <c r="L65" s="111"/>
      <c r="M65" s="112">
        <f t="shared" si="0"/>
        <v>0</v>
      </c>
      <c r="N65" s="112"/>
      <c r="O65" s="112"/>
      <c r="P65" s="35">
        <f t="shared" si="2"/>
        <v>0</v>
      </c>
      <c r="R65" s="88"/>
      <c r="S65" s="88"/>
      <c r="T65" s="67"/>
    </row>
    <row r="66" spans="1:20" ht="25.15" customHeight="1" x14ac:dyDescent="0.25">
      <c r="A66" s="32">
        <f t="shared" si="1"/>
        <v>0</v>
      </c>
      <c r="B66" s="109">
        <f t="shared" si="1"/>
        <v>0</v>
      </c>
      <c r="C66" s="109"/>
      <c r="D66" s="109"/>
      <c r="E66" s="109"/>
      <c r="F66" s="109"/>
      <c r="G66" s="109"/>
      <c r="H66" s="110">
        <f t="shared" si="3"/>
        <v>0</v>
      </c>
      <c r="I66" s="110"/>
      <c r="J66" s="110"/>
      <c r="K66" s="111">
        <f t="shared" si="4"/>
        <v>0</v>
      </c>
      <c r="L66" s="111"/>
      <c r="M66" s="112">
        <f t="shared" si="0"/>
        <v>0</v>
      </c>
      <c r="N66" s="112"/>
      <c r="O66" s="112"/>
      <c r="P66" s="35">
        <f t="shared" si="2"/>
        <v>0</v>
      </c>
      <c r="R66" s="88"/>
      <c r="S66" s="88"/>
      <c r="T66" s="67"/>
    </row>
    <row r="67" spans="1:20" ht="25.15" customHeight="1" x14ac:dyDescent="0.25">
      <c r="A67" s="32">
        <f t="shared" si="1"/>
        <v>0</v>
      </c>
      <c r="B67" s="109">
        <f t="shared" si="1"/>
        <v>0</v>
      </c>
      <c r="C67" s="109"/>
      <c r="D67" s="109"/>
      <c r="E67" s="109"/>
      <c r="F67" s="109"/>
      <c r="G67" s="109"/>
      <c r="H67" s="110">
        <f t="shared" si="3"/>
        <v>0</v>
      </c>
      <c r="I67" s="110"/>
      <c r="J67" s="110"/>
      <c r="K67" s="111">
        <f t="shared" si="4"/>
        <v>0</v>
      </c>
      <c r="L67" s="111"/>
      <c r="M67" s="112">
        <f t="shared" si="0"/>
        <v>0</v>
      </c>
      <c r="N67" s="112"/>
      <c r="O67" s="112"/>
      <c r="P67" s="35">
        <f t="shared" si="2"/>
        <v>0</v>
      </c>
      <c r="R67" s="88"/>
      <c r="S67" s="88"/>
      <c r="T67" s="67"/>
    </row>
    <row r="68" spans="1:20" ht="25.15" customHeight="1" x14ac:dyDescent="0.25">
      <c r="A68" s="32">
        <f t="shared" si="1"/>
        <v>0</v>
      </c>
      <c r="B68" s="109">
        <f t="shared" si="1"/>
        <v>0</v>
      </c>
      <c r="C68" s="109"/>
      <c r="D68" s="109"/>
      <c r="E68" s="109"/>
      <c r="F68" s="109"/>
      <c r="G68" s="109"/>
      <c r="H68" s="110">
        <f t="shared" si="3"/>
        <v>0</v>
      </c>
      <c r="I68" s="110"/>
      <c r="J68" s="110"/>
      <c r="K68" s="111">
        <f t="shared" si="4"/>
        <v>0</v>
      </c>
      <c r="L68" s="111"/>
      <c r="M68" s="112">
        <f t="shared" si="0"/>
        <v>0</v>
      </c>
      <c r="N68" s="112"/>
      <c r="O68" s="112"/>
      <c r="P68" s="35">
        <f t="shared" si="2"/>
        <v>0</v>
      </c>
      <c r="R68" s="88"/>
      <c r="S68" s="88"/>
      <c r="T68" s="67"/>
    </row>
    <row r="69" spans="1:20" ht="25.15" customHeight="1" x14ac:dyDescent="0.25">
      <c r="A69" s="32">
        <f t="shared" si="1"/>
        <v>0</v>
      </c>
      <c r="B69" s="109">
        <f t="shared" si="1"/>
        <v>0</v>
      </c>
      <c r="C69" s="109"/>
      <c r="D69" s="109"/>
      <c r="E69" s="109"/>
      <c r="F69" s="109"/>
      <c r="G69" s="109"/>
      <c r="H69" s="110">
        <f t="shared" si="3"/>
        <v>0</v>
      </c>
      <c r="I69" s="110"/>
      <c r="J69" s="110"/>
      <c r="K69" s="111">
        <f t="shared" si="4"/>
        <v>0</v>
      </c>
      <c r="L69" s="111"/>
      <c r="M69" s="112">
        <f t="shared" si="0"/>
        <v>0</v>
      </c>
      <c r="N69" s="112"/>
      <c r="O69" s="112"/>
      <c r="P69" s="35">
        <f t="shared" si="2"/>
        <v>0</v>
      </c>
      <c r="R69" s="88"/>
      <c r="S69" s="88"/>
      <c r="T69" s="67"/>
    </row>
    <row r="70" spans="1:20" ht="25.15" customHeight="1" x14ac:dyDescent="0.25">
      <c r="A70" s="32">
        <f t="shared" si="1"/>
        <v>0</v>
      </c>
      <c r="B70" s="109">
        <f t="shared" si="1"/>
        <v>0</v>
      </c>
      <c r="C70" s="109"/>
      <c r="D70" s="109"/>
      <c r="E70" s="109"/>
      <c r="F70" s="109"/>
      <c r="G70" s="109"/>
      <c r="H70" s="110">
        <f t="shared" si="3"/>
        <v>0</v>
      </c>
      <c r="I70" s="110"/>
      <c r="J70" s="110"/>
      <c r="K70" s="111">
        <f t="shared" si="4"/>
        <v>0</v>
      </c>
      <c r="L70" s="111"/>
      <c r="M70" s="112">
        <f t="shared" si="0"/>
        <v>0</v>
      </c>
      <c r="N70" s="112"/>
      <c r="O70" s="112"/>
      <c r="P70" s="35">
        <f t="shared" si="2"/>
        <v>0</v>
      </c>
      <c r="R70" s="88"/>
      <c r="S70" s="88"/>
      <c r="T70" s="67"/>
    </row>
    <row r="71" spans="1:20" ht="25.15" customHeight="1" x14ac:dyDescent="0.25">
      <c r="A71" s="32">
        <f t="shared" si="1"/>
        <v>0</v>
      </c>
      <c r="B71" s="109">
        <f t="shared" si="1"/>
        <v>0</v>
      </c>
      <c r="C71" s="109"/>
      <c r="D71" s="109"/>
      <c r="E71" s="109"/>
      <c r="F71" s="109"/>
      <c r="G71" s="109"/>
      <c r="H71" s="110">
        <f t="shared" si="3"/>
        <v>0</v>
      </c>
      <c r="I71" s="110"/>
      <c r="J71" s="110"/>
      <c r="K71" s="111">
        <f t="shared" si="4"/>
        <v>0</v>
      </c>
      <c r="L71" s="111"/>
      <c r="M71" s="112">
        <f t="shared" si="0"/>
        <v>0</v>
      </c>
      <c r="N71" s="112"/>
      <c r="O71" s="112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09">
        <f t="shared" si="1"/>
        <v>0</v>
      </c>
      <c r="C72" s="109"/>
      <c r="D72" s="109"/>
      <c r="E72" s="109"/>
      <c r="F72" s="109"/>
      <c r="G72" s="109"/>
      <c r="H72" s="110">
        <f t="shared" si="3"/>
        <v>0</v>
      </c>
      <c r="I72" s="110"/>
      <c r="J72" s="110"/>
      <c r="K72" s="111">
        <f t="shared" si="4"/>
        <v>0</v>
      </c>
      <c r="L72" s="111"/>
      <c r="M72" s="112">
        <f t="shared" si="0"/>
        <v>0</v>
      </c>
      <c r="N72" s="112"/>
      <c r="O72" s="112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09">
        <f t="shared" si="5"/>
        <v>0</v>
      </c>
      <c r="C73" s="109"/>
      <c r="D73" s="109"/>
      <c r="E73" s="109"/>
      <c r="F73" s="109"/>
      <c r="G73" s="109"/>
      <c r="H73" s="110">
        <f t="shared" si="3"/>
        <v>0</v>
      </c>
      <c r="I73" s="110"/>
      <c r="J73" s="110"/>
      <c r="K73" s="111">
        <f t="shared" si="4"/>
        <v>0</v>
      </c>
      <c r="L73" s="111"/>
      <c r="M73" s="112">
        <f t="shared" si="0"/>
        <v>0</v>
      </c>
      <c r="N73" s="112"/>
      <c r="O73" s="112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09">
        <f t="shared" si="5"/>
        <v>0</v>
      </c>
      <c r="C74" s="109"/>
      <c r="D74" s="109"/>
      <c r="E74" s="109"/>
      <c r="F74" s="109"/>
      <c r="G74" s="109"/>
      <c r="H74" s="110">
        <f t="shared" si="3"/>
        <v>0</v>
      </c>
      <c r="I74" s="110"/>
      <c r="J74" s="110"/>
      <c r="K74" s="111">
        <f t="shared" si="4"/>
        <v>0</v>
      </c>
      <c r="L74" s="111"/>
      <c r="M74" s="112">
        <f t="shared" si="0"/>
        <v>0</v>
      </c>
      <c r="N74" s="112"/>
      <c r="O74" s="112"/>
      <c r="P74" s="35">
        <f t="shared" si="2"/>
        <v>0</v>
      </c>
    </row>
    <row r="75" spans="1:20" ht="21.95" customHeight="1" thickBot="1" x14ac:dyDescent="0.3">
      <c r="A75" s="126" t="s">
        <v>17</v>
      </c>
      <c r="B75" s="127"/>
      <c r="C75" s="127"/>
      <c r="D75" s="127"/>
      <c r="E75" s="127"/>
      <c r="F75" s="127"/>
      <c r="G75" s="116"/>
      <c r="H75" s="128">
        <f>SUM(H55:J74)</f>
        <v>17</v>
      </c>
      <c r="I75" s="129"/>
      <c r="J75" s="130"/>
      <c r="K75" s="131">
        <f>SUM(K55:L74)</f>
        <v>1230</v>
      </c>
      <c r="L75" s="132"/>
      <c r="M75" s="133"/>
      <c r="N75" s="134"/>
      <c r="O75" s="135"/>
      <c r="P75" s="19"/>
    </row>
    <row r="77" spans="1:20" ht="31.9" customHeight="1" x14ac:dyDescent="0.25">
      <c r="A77" s="137" t="s">
        <v>22</v>
      </c>
      <c r="B77" s="138"/>
      <c r="C77" s="138"/>
      <c r="D77" s="139" t="str">
        <f>D37</f>
        <v>MD.ISMAEIL</v>
      </c>
      <c r="E77" s="139"/>
      <c r="F77" s="139"/>
      <c r="G77" s="138" t="s">
        <v>23</v>
      </c>
      <c r="H77" s="138"/>
      <c r="I77" s="138"/>
      <c r="J77" s="138"/>
      <c r="K77" s="138"/>
      <c r="L77" s="138"/>
      <c r="M77" s="140" t="str">
        <f>M37</f>
        <v>01766-040391</v>
      </c>
      <c r="N77" s="140"/>
      <c r="O77" s="140"/>
      <c r="P77" s="141"/>
    </row>
    <row r="78" spans="1:20" ht="31.9" customHeight="1" x14ac:dyDescent="0.25">
      <c r="A78" s="142" t="s">
        <v>24</v>
      </c>
      <c r="B78" s="143"/>
      <c r="C78" s="143"/>
      <c r="D78" s="144" t="str">
        <f>D38</f>
        <v>O138509</v>
      </c>
      <c r="E78" s="144"/>
      <c r="F78" s="144"/>
      <c r="G78" s="143" t="s">
        <v>25</v>
      </c>
      <c r="H78" s="143"/>
      <c r="I78" s="143"/>
      <c r="J78" s="143"/>
      <c r="K78" s="143"/>
      <c r="L78" s="143"/>
      <c r="M78" s="145" t="str">
        <f>M38</f>
        <v>D.M.TA 22-2381</v>
      </c>
      <c r="N78" s="145"/>
      <c r="O78" s="145"/>
      <c r="P78" s="146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36" t="s">
        <v>18</v>
      </c>
      <c r="B80" s="136"/>
      <c r="C80" s="136"/>
      <c r="D80" s="4"/>
      <c r="E80" s="4"/>
      <c r="F80" s="136" t="s">
        <v>19</v>
      </c>
      <c r="G80" s="136"/>
      <c r="H80" s="36"/>
      <c r="I80" s="36"/>
      <c r="J80" s="36"/>
      <c r="K80" s="4"/>
      <c r="L80" s="136" t="s">
        <v>20</v>
      </c>
      <c r="M80" s="136"/>
      <c r="N80" s="136"/>
      <c r="O80" s="136"/>
      <c r="P80" s="136"/>
    </row>
    <row r="81" spans="1:22" ht="8.25" customHeight="1" x14ac:dyDescent="0.25"/>
    <row r="82" spans="1:22" ht="36.75" customHeight="1" x14ac:dyDescent="0.25">
      <c r="A82" s="37"/>
      <c r="B82" s="37"/>
      <c r="C82" s="37"/>
      <c r="D82" s="38" t="s">
        <v>27</v>
      </c>
      <c r="E82" s="38"/>
      <c r="F82" s="38"/>
      <c r="G82" s="38"/>
      <c r="H82" s="38"/>
      <c r="I82" s="38"/>
      <c r="J82" s="38"/>
      <c r="K82" s="38"/>
      <c r="L82" s="38"/>
      <c r="M82" s="39" t="str">
        <f>M42</f>
        <v>FORM STR 03
REVISION NO 01</v>
      </c>
      <c r="N82" s="39"/>
      <c r="O82" s="39"/>
      <c r="P82" s="39"/>
      <c r="Q82" s="10"/>
    </row>
    <row r="83" spans="1:22" ht="22.15" customHeight="1" x14ac:dyDescent="0.25">
      <c r="A83" s="37"/>
      <c r="B83" s="37"/>
      <c r="C83" s="37"/>
      <c r="D83" s="38"/>
      <c r="E83" s="38"/>
      <c r="F83" s="38"/>
      <c r="G83" s="38"/>
      <c r="H83" s="38"/>
      <c r="I83" s="38"/>
      <c r="J83" s="38"/>
      <c r="K83" s="38"/>
      <c r="L83" s="38"/>
      <c r="M83" s="39"/>
      <c r="N83" s="39"/>
      <c r="O83" s="39"/>
      <c r="P83" s="39"/>
      <c r="Q83" s="10"/>
    </row>
    <row r="84" spans="1:22" ht="17.45" customHeight="1" x14ac:dyDescent="0.25">
      <c r="A84" s="40"/>
      <c r="B84" s="40"/>
      <c r="C84" s="40"/>
      <c r="D84" s="41" t="s">
        <v>21</v>
      </c>
      <c r="E84" s="41"/>
      <c r="F84" s="41"/>
      <c r="G84" s="41"/>
      <c r="H84" s="41"/>
      <c r="I84" s="41"/>
      <c r="J84" s="41"/>
      <c r="K84" s="41"/>
      <c r="L84" s="41"/>
      <c r="M84" s="11"/>
    </row>
    <row r="85" spans="1:22" ht="22.15" customHeight="1" thickBot="1" x14ac:dyDescent="0.35">
      <c r="A85" s="42"/>
      <c r="B85" s="42"/>
      <c r="C85" s="1"/>
      <c r="D85" s="43" t="s">
        <v>91</v>
      </c>
      <c r="E85" s="43"/>
      <c r="F85" s="43"/>
      <c r="G85" s="43"/>
      <c r="H85" s="43"/>
      <c r="I85" s="43"/>
      <c r="J85" s="43"/>
      <c r="K85" s="43"/>
      <c r="L85" s="43"/>
      <c r="M85" s="2"/>
      <c r="N85" s="37"/>
      <c r="O85" s="37"/>
      <c r="P85" s="37"/>
    </row>
    <row r="86" spans="1:22" ht="15.6" customHeight="1" thickBot="1" x14ac:dyDescent="0.35">
      <c r="A86" s="71" t="s">
        <v>9</v>
      </c>
      <c r="B86" s="72"/>
      <c r="C86" s="73" t="str">
        <f>C46</f>
        <v>O547</v>
      </c>
      <c r="D86" s="73"/>
      <c r="E86" s="73"/>
      <c r="F86" s="74"/>
      <c r="G86" s="2"/>
      <c r="H86" s="75" t="s">
        <v>4</v>
      </c>
      <c r="I86" s="76"/>
      <c r="J86" s="76"/>
      <c r="K86" s="8" t="s">
        <v>7</v>
      </c>
      <c r="L86" s="77" t="str">
        <f>L46</f>
        <v>JP 523807</v>
      </c>
      <c r="M86" s="77"/>
      <c r="N86" s="77"/>
      <c r="O86" s="77"/>
      <c r="P86" s="78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52" t="s">
        <v>5</v>
      </c>
      <c r="I87" s="53"/>
      <c r="J87" s="53"/>
      <c r="K87" s="9" t="s">
        <v>7</v>
      </c>
      <c r="L87" s="79">
        <f>L47</f>
        <v>45687</v>
      </c>
      <c r="M87" s="79"/>
      <c r="N87" s="79"/>
      <c r="O87" s="79"/>
      <c r="P87" s="80"/>
      <c r="R87" s="88"/>
      <c r="S87" s="88"/>
      <c r="T87" s="147"/>
      <c r="U87" s="26"/>
      <c r="V87" s="147"/>
    </row>
    <row r="88" spans="1:22" ht="18" customHeight="1" x14ac:dyDescent="0.3">
      <c r="A88" s="46" t="str">
        <f>A48</f>
        <v>KDS Logistics Ltd.
Ghoramara, Sonalchari, Sitakunda
Chattogram 4318, Bangladesh.</v>
      </c>
      <c r="B88" s="47"/>
      <c r="C88" s="47"/>
      <c r="D88" s="47"/>
      <c r="E88" s="47"/>
      <c r="F88" s="48"/>
      <c r="G88" s="2"/>
      <c r="H88" s="52" t="s">
        <v>8</v>
      </c>
      <c r="I88" s="53"/>
      <c r="J88" s="53"/>
      <c r="K88" s="9" t="s">
        <v>7</v>
      </c>
      <c r="L88" s="54" t="str">
        <f>L48</f>
        <v>SEA</v>
      </c>
      <c r="M88" s="54"/>
      <c r="N88" s="54"/>
      <c r="O88" s="54"/>
      <c r="P88" s="55"/>
      <c r="R88" s="88"/>
      <c r="S88" s="88"/>
      <c r="T88" s="148"/>
      <c r="U88" s="26"/>
      <c r="V88" s="148"/>
    </row>
    <row r="89" spans="1:22" ht="17.45" customHeight="1" x14ac:dyDescent="0.3">
      <c r="A89" s="46"/>
      <c r="B89" s="47"/>
      <c r="C89" s="47"/>
      <c r="D89" s="47"/>
      <c r="E89" s="47"/>
      <c r="F89" s="48"/>
      <c r="G89" s="2"/>
      <c r="H89" s="56" t="s">
        <v>6</v>
      </c>
      <c r="I89" s="57"/>
      <c r="J89" s="57"/>
      <c r="K89" s="62" t="s">
        <v>7</v>
      </c>
      <c r="L89" s="65" t="str">
        <f>L49</f>
        <v>M/S. Kabir &amp; Co.
1104DT Road West Madarbari,
Chattogram, Bangladesh.</v>
      </c>
      <c r="M89" s="65"/>
      <c r="N89" s="65"/>
      <c r="O89" s="65"/>
      <c r="P89" s="66"/>
      <c r="R89" s="88"/>
      <c r="S89" s="88"/>
      <c r="T89" s="148"/>
      <c r="U89" s="26"/>
      <c r="V89" s="148"/>
    </row>
    <row r="90" spans="1:22" ht="18" thickBot="1" x14ac:dyDescent="0.35">
      <c r="A90" s="49"/>
      <c r="B90" s="50"/>
      <c r="C90" s="50"/>
      <c r="D90" s="50"/>
      <c r="E90" s="50"/>
      <c r="F90" s="51"/>
      <c r="G90" s="2"/>
      <c r="H90" s="58"/>
      <c r="I90" s="59"/>
      <c r="J90" s="59"/>
      <c r="K90" s="63"/>
      <c r="L90" s="67"/>
      <c r="M90" s="67"/>
      <c r="N90" s="67"/>
      <c r="O90" s="67"/>
      <c r="P90" s="68"/>
      <c r="R90" s="88"/>
      <c r="S90" s="88"/>
      <c r="T90" s="147"/>
      <c r="U90" s="26"/>
      <c r="V90" s="147"/>
    </row>
    <row r="91" spans="1:22" ht="18" customHeight="1" thickBot="1" x14ac:dyDescent="0.35">
      <c r="A91" s="42"/>
      <c r="B91" s="42"/>
      <c r="C91" s="1"/>
      <c r="D91" s="2"/>
      <c r="E91" s="2"/>
      <c r="F91" s="2"/>
      <c r="G91" s="2"/>
      <c r="H91" s="60"/>
      <c r="I91" s="61"/>
      <c r="J91" s="61"/>
      <c r="K91" s="64"/>
      <c r="L91" s="69"/>
      <c r="M91" s="69"/>
      <c r="N91" s="69"/>
      <c r="O91" s="69"/>
      <c r="P91" s="70"/>
      <c r="R91" s="88"/>
      <c r="S91" s="88"/>
      <c r="T91" s="147"/>
      <c r="U91" s="26"/>
      <c r="V91" s="148"/>
    </row>
    <row r="92" spans="1:22" ht="16.149999999999999" customHeight="1" x14ac:dyDescent="0.25">
      <c r="A92" s="103" t="s">
        <v>12</v>
      </c>
      <c r="B92" s="104"/>
      <c r="C92" s="105" t="s">
        <v>0</v>
      </c>
      <c r="D92" s="105"/>
      <c r="E92" s="105"/>
      <c r="F92" s="105"/>
      <c r="G92" s="105"/>
      <c r="H92" s="81" t="s">
        <v>1</v>
      </c>
      <c r="I92" s="82"/>
      <c r="J92" s="82"/>
      <c r="K92" s="82"/>
      <c r="L92" s="83"/>
      <c r="M92" s="84" t="s">
        <v>16</v>
      </c>
      <c r="N92" s="85"/>
      <c r="O92" s="86"/>
      <c r="P92" s="93" t="s">
        <v>3</v>
      </c>
      <c r="R92" s="88"/>
      <c r="S92" s="88"/>
      <c r="T92" s="147"/>
      <c r="U92" s="26"/>
      <c r="V92" s="148"/>
    </row>
    <row r="93" spans="1:22" ht="16.149999999999999" customHeight="1" x14ac:dyDescent="0.25">
      <c r="A93" s="3" t="s">
        <v>13</v>
      </c>
      <c r="B93" s="33">
        <f>B53</f>
        <v>0</v>
      </c>
      <c r="C93" s="96" t="str">
        <f>C53</f>
        <v>Delivery of Readymade Garments</v>
      </c>
      <c r="D93" s="96"/>
      <c r="E93" s="96"/>
      <c r="F93" s="96"/>
      <c r="G93" s="96"/>
      <c r="H93" s="97" t="s">
        <v>2</v>
      </c>
      <c r="I93" s="98"/>
      <c r="J93" s="99"/>
      <c r="K93" s="97" t="s">
        <v>15</v>
      </c>
      <c r="L93" s="99"/>
      <c r="M93" s="87"/>
      <c r="N93" s="88"/>
      <c r="O93" s="89"/>
      <c r="P93" s="94"/>
      <c r="R93" s="88"/>
      <c r="S93" s="88"/>
      <c r="T93" s="147"/>
      <c r="V93" s="147"/>
    </row>
    <row r="94" spans="1:22" ht="16.149999999999999" customHeight="1" thickBot="1" x14ac:dyDescent="0.3">
      <c r="A94" s="113" t="s">
        <v>11</v>
      </c>
      <c r="B94" s="114"/>
      <c r="C94" s="115" t="str">
        <f>C54</f>
        <v>H &amp; M</v>
      </c>
      <c r="D94" s="116"/>
      <c r="E94" s="117" t="s">
        <v>88</v>
      </c>
      <c r="F94" s="118"/>
      <c r="G94" s="114"/>
      <c r="H94" s="100"/>
      <c r="I94" s="101"/>
      <c r="J94" s="102"/>
      <c r="K94" s="100"/>
      <c r="L94" s="102"/>
      <c r="M94" s="90"/>
      <c r="N94" s="91"/>
      <c r="O94" s="92"/>
      <c r="P94" s="95"/>
      <c r="R94" s="88"/>
      <c r="S94" s="88"/>
      <c r="T94" s="147"/>
      <c r="V94" s="148"/>
    </row>
    <row r="95" spans="1:22" ht="25.15" customHeight="1" x14ac:dyDescent="0.25">
      <c r="A95" s="31">
        <f>A55</f>
        <v>0</v>
      </c>
      <c r="B95" s="119" t="str">
        <f>B55</f>
        <v>294223-5832</v>
      </c>
      <c r="C95" s="119"/>
      <c r="D95" s="119"/>
      <c r="E95" s="119"/>
      <c r="F95" s="119"/>
      <c r="G95" s="119"/>
      <c r="H95" s="120">
        <f>H55</f>
        <v>5</v>
      </c>
      <c r="I95" s="121"/>
      <c r="J95" s="122"/>
      <c r="K95" s="123">
        <f>K55</f>
        <v>479</v>
      </c>
      <c r="L95" s="124"/>
      <c r="M95" s="106" t="str">
        <f>M55</f>
        <v>MY</v>
      </c>
      <c r="N95" s="107"/>
      <c r="O95" s="108"/>
      <c r="P95" s="34">
        <f>P55</f>
        <v>0</v>
      </c>
      <c r="R95" s="88"/>
      <c r="S95" s="88"/>
      <c r="T95" s="147"/>
      <c r="V95" s="148"/>
    </row>
    <row r="96" spans="1:22" ht="25.15" customHeight="1" x14ac:dyDescent="0.25">
      <c r="A96" s="32">
        <f>A56</f>
        <v>0</v>
      </c>
      <c r="B96" s="109" t="str">
        <f>B56</f>
        <v>296214-5832</v>
      </c>
      <c r="C96" s="109"/>
      <c r="D96" s="109"/>
      <c r="E96" s="109"/>
      <c r="F96" s="109"/>
      <c r="G96" s="109"/>
      <c r="H96" s="110">
        <f>H56</f>
        <v>1</v>
      </c>
      <c r="I96" s="110"/>
      <c r="J96" s="110"/>
      <c r="K96" s="111">
        <f>K56</f>
        <v>24</v>
      </c>
      <c r="L96" s="111"/>
      <c r="M96" s="112" t="str">
        <f>M56</f>
        <v>NH</v>
      </c>
      <c r="N96" s="112"/>
      <c r="O96" s="112"/>
      <c r="P96" s="35">
        <f>P56</f>
        <v>0</v>
      </c>
      <c r="R96" s="88"/>
      <c r="S96" s="88"/>
      <c r="T96" s="67"/>
      <c r="V96" s="147"/>
    </row>
    <row r="97" spans="1:22" ht="25.15" customHeight="1" x14ac:dyDescent="0.25">
      <c r="A97" s="32">
        <f t="shared" ref="A97:B112" si="6">A57</f>
        <v>0</v>
      </c>
      <c r="B97" s="109" t="str">
        <f t="shared" si="6"/>
        <v>327483-7952</v>
      </c>
      <c r="C97" s="109"/>
      <c r="D97" s="109"/>
      <c r="E97" s="109"/>
      <c r="F97" s="109"/>
      <c r="G97" s="109"/>
      <c r="H97" s="110">
        <f>H57</f>
        <v>3</v>
      </c>
      <c r="I97" s="110"/>
      <c r="J97" s="110"/>
      <c r="K97" s="111">
        <f>K57</f>
        <v>118</v>
      </c>
      <c r="L97" s="111"/>
      <c r="M97" s="112" t="str">
        <f t="shared" ref="M97:M114" si="7">M57</f>
        <v>LD</v>
      </c>
      <c r="N97" s="112"/>
      <c r="O97" s="112"/>
      <c r="P97" s="35">
        <f t="shared" ref="P97:P114" si="8">P57</f>
        <v>0</v>
      </c>
      <c r="R97" s="88"/>
      <c r="S97" s="88"/>
      <c r="T97" s="67"/>
      <c r="V97" s="148"/>
    </row>
    <row r="98" spans="1:22" ht="25.15" customHeight="1" x14ac:dyDescent="0.25">
      <c r="A98" s="32">
        <f t="shared" si="6"/>
        <v>0</v>
      </c>
      <c r="B98" s="109" t="str">
        <f t="shared" si="6"/>
        <v>307355-5832</v>
      </c>
      <c r="C98" s="109"/>
      <c r="D98" s="109"/>
      <c r="E98" s="109"/>
      <c r="F98" s="109"/>
      <c r="G98" s="109"/>
      <c r="H98" s="110">
        <f t="shared" ref="H98:H114" si="9">H58</f>
        <v>1</v>
      </c>
      <c r="I98" s="110"/>
      <c r="J98" s="110"/>
      <c r="K98" s="111">
        <f t="shared" ref="K98:K114" si="10">K58</f>
        <v>63</v>
      </c>
      <c r="L98" s="111"/>
      <c r="M98" s="112" t="str">
        <f t="shared" si="7"/>
        <v>NH</v>
      </c>
      <c r="N98" s="112"/>
      <c r="O98" s="112"/>
      <c r="P98" s="35">
        <f t="shared" si="8"/>
        <v>0</v>
      </c>
      <c r="R98" s="88"/>
      <c r="S98" s="88"/>
      <c r="T98" s="67"/>
      <c r="V98" s="148"/>
    </row>
    <row r="99" spans="1:22" ht="25.15" customHeight="1" x14ac:dyDescent="0.25">
      <c r="A99" s="32">
        <f t="shared" si="6"/>
        <v>0</v>
      </c>
      <c r="B99" s="109" t="str">
        <f t="shared" si="6"/>
        <v>324425-5832</v>
      </c>
      <c r="C99" s="109"/>
      <c r="D99" s="109"/>
      <c r="E99" s="109"/>
      <c r="F99" s="109"/>
      <c r="G99" s="109"/>
      <c r="H99" s="110">
        <f t="shared" si="9"/>
        <v>5</v>
      </c>
      <c r="I99" s="110"/>
      <c r="J99" s="110"/>
      <c r="K99" s="111">
        <f t="shared" si="10"/>
        <v>377</v>
      </c>
      <c r="L99" s="111"/>
      <c r="M99" s="112" t="str">
        <f t="shared" si="7"/>
        <v>MX</v>
      </c>
      <c r="N99" s="112"/>
      <c r="O99" s="112"/>
      <c r="P99" s="35">
        <f t="shared" si="8"/>
        <v>0</v>
      </c>
      <c r="R99" s="88"/>
      <c r="S99" s="88"/>
      <c r="T99" s="67"/>
      <c r="V99" s="147"/>
    </row>
    <row r="100" spans="1:22" ht="25.15" customHeight="1" x14ac:dyDescent="0.25">
      <c r="A100" s="32">
        <f t="shared" si="6"/>
        <v>0</v>
      </c>
      <c r="B100" s="109" t="str">
        <f t="shared" si="6"/>
        <v>300718-5832</v>
      </c>
      <c r="C100" s="109"/>
      <c r="D100" s="109"/>
      <c r="E100" s="109"/>
      <c r="F100" s="109"/>
      <c r="G100" s="109"/>
      <c r="H100" s="110">
        <f t="shared" si="9"/>
        <v>1</v>
      </c>
      <c r="I100" s="110"/>
      <c r="J100" s="110"/>
      <c r="K100" s="111">
        <f t="shared" si="10"/>
        <v>105</v>
      </c>
      <c r="L100" s="111"/>
      <c r="M100" s="112" t="str">
        <f t="shared" si="7"/>
        <v>NH</v>
      </c>
      <c r="N100" s="112"/>
      <c r="O100" s="112"/>
      <c r="P100" s="35">
        <f t="shared" si="8"/>
        <v>0</v>
      </c>
      <c r="R100" s="88"/>
      <c r="S100" s="88"/>
      <c r="T100" s="67"/>
      <c r="V100" s="148"/>
    </row>
    <row r="101" spans="1:22" ht="25.15" customHeight="1" x14ac:dyDescent="0.25">
      <c r="A101" s="32">
        <f t="shared" si="6"/>
        <v>0</v>
      </c>
      <c r="B101" s="109" t="str">
        <f t="shared" si="6"/>
        <v>300719-5832</v>
      </c>
      <c r="C101" s="109"/>
      <c r="D101" s="109"/>
      <c r="E101" s="109"/>
      <c r="F101" s="109"/>
      <c r="G101" s="109"/>
      <c r="H101" s="110">
        <f t="shared" si="9"/>
        <v>1</v>
      </c>
      <c r="I101" s="110"/>
      <c r="J101" s="110"/>
      <c r="K101" s="111">
        <f t="shared" si="10"/>
        <v>64</v>
      </c>
      <c r="L101" s="111"/>
      <c r="M101" s="112" t="str">
        <f t="shared" si="7"/>
        <v>NH</v>
      </c>
      <c r="N101" s="112"/>
      <c r="O101" s="112"/>
      <c r="P101" s="35">
        <f t="shared" si="8"/>
        <v>0</v>
      </c>
      <c r="R101" s="88"/>
      <c r="S101" s="88"/>
      <c r="T101" s="67"/>
      <c r="V101" s="148"/>
    </row>
    <row r="102" spans="1:22" ht="25.15" customHeight="1" x14ac:dyDescent="0.25">
      <c r="A102" s="32">
        <f t="shared" si="6"/>
        <v>0</v>
      </c>
      <c r="B102" s="109">
        <f t="shared" si="6"/>
        <v>0</v>
      </c>
      <c r="C102" s="109"/>
      <c r="D102" s="109"/>
      <c r="E102" s="109"/>
      <c r="F102" s="109"/>
      <c r="G102" s="109"/>
      <c r="H102" s="110">
        <f t="shared" si="9"/>
        <v>0</v>
      </c>
      <c r="I102" s="110"/>
      <c r="J102" s="110"/>
      <c r="K102" s="111">
        <f t="shared" si="10"/>
        <v>0</v>
      </c>
      <c r="L102" s="111"/>
      <c r="M102" s="112">
        <f t="shared" si="7"/>
        <v>0</v>
      </c>
      <c r="N102" s="112"/>
      <c r="O102" s="112"/>
      <c r="P102" s="35">
        <f t="shared" si="8"/>
        <v>0</v>
      </c>
      <c r="R102" s="88"/>
      <c r="S102" s="88"/>
      <c r="T102" s="67"/>
    </row>
    <row r="103" spans="1:22" ht="25.15" customHeight="1" x14ac:dyDescent="0.25">
      <c r="A103" s="32">
        <f t="shared" si="6"/>
        <v>0</v>
      </c>
      <c r="B103" s="109">
        <f t="shared" si="6"/>
        <v>0</v>
      </c>
      <c r="C103" s="109"/>
      <c r="D103" s="109"/>
      <c r="E103" s="109"/>
      <c r="F103" s="109"/>
      <c r="G103" s="109"/>
      <c r="H103" s="110">
        <f t="shared" si="9"/>
        <v>0</v>
      </c>
      <c r="I103" s="110"/>
      <c r="J103" s="110"/>
      <c r="K103" s="111">
        <f t="shared" si="10"/>
        <v>0</v>
      </c>
      <c r="L103" s="111"/>
      <c r="M103" s="112">
        <f t="shared" si="7"/>
        <v>0</v>
      </c>
      <c r="N103" s="112"/>
      <c r="O103" s="112"/>
      <c r="P103" s="35">
        <f t="shared" si="8"/>
        <v>0</v>
      </c>
      <c r="R103" s="88"/>
      <c r="S103" s="88"/>
      <c r="T103" s="67"/>
    </row>
    <row r="104" spans="1:22" ht="25.15" customHeight="1" x14ac:dyDescent="0.25">
      <c r="A104" s="32">
        <f t="shared" si="6"/>
        <v>0</v>
      </c>
      <c r="B104" s="109">
        <f t="shared" si="6"/>
        <v>0</v>
      </c>
      <c r="C104" s="109"/>
      <c r="D104" s="109"/>
      <c r="E104" s="109"/>
      <c r="F104" s="109"/>
      <c r="G104" s="109"/>
      <c r="H104" s="110">
        <f t="shared" si="9"/>
        <v>0</v>
      </c>
      <c r="I104" s="110"/>
      <c r="J104" s="110"/>
      <c r="K104" s="111">
        <f t="shared" si="10"/>
        <v>0</v>
      </c>
      <c r="L104" s="111"/>
      <c r="M104" s="112">
        <f t="shared" si="7"/>
        <v>0</v>
      </c>
      <c r="N104" s="112"/>
      <c r="O104" s="112"/>
      <c r="P104" s="35">
        <f t="shared" si="8"/>
        <v>0</v>
      </c>
      <c r="R104" s="88"/>
      <c r="S104" s="88"/>
      <c r="T104" s="67"/>
    </row>
    <row r="105" spans="1:22" ht="25.15" customHeight="1" x14ac:dyDescent="0.25">
      <c r="A105" s="32">
        <f t="shared" si="6"/>
        <v>0</v>
      </c>
      <c r="B105" s="109">
        <f t="shared" si="6"/>
        <v>0</v>
      </c>
      <c r="C105" s="109"/>
      <c r="D105" s="109"/>
      <c r="E105" s="109"/>
      <c r="F105" s="109"/>
      <c r="G105" s="109"/>
      <c r="H105" s="110">
        <f t="shared" si="9"/>
        <v>0</v>
      </c>
      <c r="I105" s="110"/>
      <c r="J105" s="110"/>
      <c r="K105" s="111">
        <f t="shared" si="10"/>
        <v>0</v>
      </c>
      <c r="L105" s="111"/>
      <c r="M105" s="112">
        <f t="shared" si="7"/>
        <v>0</v>
      </c>
      <c r="N105" s="112"/>
      <c r="O105" s="112"/>
      <c r="P105" s="35">
        <f t="shared" si="8"/>
        <v>0</v>
      </c>
      <c r="R105" s="88"/>
      <c r="S105" s="88"/>
      <c r="T105" s="67"/>
    </row>
    <row r="106" spans="1:22" ht="25.15" customHeight="1" x14ac:dyDescent="0.25">
      <c r="A106" s="32">
        <f t="shared" si="6"/>
        <v>0</v>
      </c>
      <c r="B106" s="109">
        <f t="shared" si="6"/>
        <v>0</v>
      </c>
      <c r="C106" s="109"/>
      <c r="D106" s="109"/>
      <c r="E106" s="109"/>
      <c r="F106" s="109"/>
      <c r="G106" s="109"/>
      <c r="H106" s="110">
        <f t="shared" si="9"/>
        <v>0</v>
      </c>
      <c r="I106" s="110"/>
      <c r="J106" s="110"/>
      <c r="K106" s="111">
        <f t="shared" si="10"/>
        <v>0</v>
      </c>
      <c r="L106" s="111"/>
      <c r="M106" s="112">
        <f t="shared" si="7"/>
        <v>0</v>
      </c>
      <c r="N106" s="112"/>
      <c r="O106" s="112"/>
      <c r="P106" s="35">
        <f t="shared" si="8"/>
        <v>0</v>
      </c>
      <c r="R106" s="88"/>
      <c r="S106" s="88"/>
      <c r="T106" s="67"/>
    </row>
    <row r="107" spans="1:22" ht="25.15" customHeight="1" x14ac:dyDescent="0.25">
      <c r="A107" s="32">
        <f t="shared" si="6"/>
        <v>0</v>
      </c>
      <c r="B107" s="109">
        <f t="shared" si="6"/>
        <v>0</v>
      </c>
      <c r="C107" s="109"/>
      <c r="D107" s="109"/>
      <c r="E107" s="109"/>
      <c r="F107" s="109"/>
      <c r="G107" s="109"/>
      <c r="H107" s="110">
        <f t="shared" si="9"/>
        <v>0</v>
      </c>
      <c r="I107" s="110"/>
      <c r="J107" s="110"/>
      <c r="K107" s="111">
        <f t="shared" si="10"/>
        <v>0</v>
      </c>
      <c r="L107" s="111"/>
      <c r="M107" s="112">
        <f t="shared" si="7"/>
        <v>0</v>
      </c>
      <c r="N107" s="112"/>
      <c r="O107" s="112"/>
      <c r="P107" s="35">
        <f t="shared" si="8"/>
        <v>0</v>
      </c>
      <c r="R107" s="88"/>
      <c r="S107" s="88"/>
      <c r="T107" s="67"/>
    </row>
    <row r="108" spans="1:22" ht="25.15" customHeight="1" x14ac:dyDescent="0.25">
      <c r="A108" s="32">
        <f t="shared" si="6"/>
        <v>0</v>
      </c>
      <c r="B108" s="109">
        <f t="shared" si="6"/>
        <v>0</v>
      </c>
      <c r="C108" s="109"/>
      <c r="D108" s="109"/>
      <c r="E108" s="109"/>
      <c r="F108" s="109"/>
      <c r="G108" s="109"/>
      <c r="H108" s="110">
        <f t="shared" si="9"/>
        <v>0</v>
      </c>
      <c r="I108" s="110"/>
      <c r="J108" s="110"/>
      <c r="K108" s="111">
        <f t="shared" si="10"/>
        <v>0</v>
      </c>
      <c r="L108" s="111"/>
      <c r="M108" s="112">
        <f t="shared" si="7"/>
        <v>0</v>
      </c>
      <c r="N108" s="112"/>
      <c r="O108" s="112"/>
      <c r="P108" s="35">
        <f t="shared" si="8"/>
        <v>0</v>
      </c>
      <c r="R108" s="88"/>
      <c r="S108" s="88"/>
      <c r="T108" s="67"/>
    </row>
    <row r="109" spans="1:22" ht="25.15" customHeight="1" x14ac:dyDescent="0.25">
      <c r="A109" s="32">
        <f t="shared" si="6"/>
        <v>0</v>
      </c>
      <c r="B109" s="109">
        <f t="shared" si="6"/>
        <v>0</v>
      </c>
      <c r="C109" s="109"/>
      <c r="D109" s="109"/>
      <c r="E109" s="109"/>
      <c r="F109" s="109"/>
      <c r="G109" s="109"/>
      <c r="H109" s="110">
        <f t="shared" si="9"/>
        <v>0</v>
      </c>
      <c r="I109" s="110"/>
      <c r="J109" s="110"/>
      <c r="K109" s="111">
        <f t="shared" si="10"/>
        <v>0</v>
      </c>
      <c r="L109" s="111"/>
      <c r="M109" s="112">
        <f t="shared" si="7"/>
        <v>0</v>
      </c>
      <c r="N109" s="112"/>
      <c r="O109" s="112"/>
      <c r="P109" s="35">
        <f t="shared" si="8"/>
        <v>0</v>
      </c>
      <c r="R109" s="88"/>
      <c r="S109" s="88"/>
      <c r="T109" s="67"/>
    </row>
    <row r="110" spans="1:22" ht="25.15" customHeight="1" x14ac:dyDescent="0.25">
      <c r="A110" s="32">
        <f t="shared" si="6"/>
        <v>0</v>
      </c>
      <c r="B110" s="109">
        <f t="shared" si="6"/>
        <v>0</v>
      </c>
      <c r="C110" s="109"/>
      <c r="D110" s="109"/>
      <c r="E110" s="109"/>
      <c r="F110" s="109"/>
      <c r="G110" s="109"/>
      <c r="H110" s="110">
        <f t="shared" si="9"/>
        <v>0</v>
      </c>
      <c r="I110" s="110"/>
      <c r="J110" s="110"/>
      <c r="K110" s="111">
        <f t="shared" si="10"/>
        <v>0</v>
      </c>
      <c r="L110" s="111"/>
      <c r="M110" s="112">
        <f t="shared" si="7"/>
        <v>0</v>
      </c>
      <c r="N110" s="112"/>
      <c r="O110" s="112"/>
      <c r="P110" s="35">
        <f t="shared" si="8"/>
        <v>0</v>
      </c>
      <c r="R110" s="88"/>
      <c r="S110" s="88"/>
      <c r="T110" s="67"/>
    </row>
    <row r="111" spans="1:22" ht="25.15" customHeight="1" x14ac:dyDescent="0.25">
      <c r="A111" s="32">
        <f t="shared" si="6"/>
        <v>0</v>
      </c>
      <c r="B111" s="109">
        <f t="shared" si="6"/>
        <v>0</v>
      </c>
      <c r="C111" s="109"/>
      <c r="D111" s="109"/>
      <c r="E111" s="109"/>
      <c r="F111" s="109"/>
      <c r="G111" s="109"/>
      <c r="H111" s="110">
        <f t="shared" si="9"/>
        <v>0</v>
      </c>
      <c r="I111" s="110"/>
      <c r="J111" s="110"/>
      <c r="K111" s="111">
        <f t="shared" si="10"/>
        <v>0</v>
      </c>
      <c r="L111" s="111"/>
      <c r="M111" s="112">
        <f t="shared" si="7"/>
        <v>0</v>
      </c>
      <c r="N111" s="112"/>
      <c r="O111" s="112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09">
        <f t="shared" si="6"/>
        <v>0</v>
      </c>
      <c r="C112" s="109"/>
      <c r="D112" s="109"/>
      <c r="E112" s="109"/>
      <c r="F112" s="109"/>
      <c r="G112" s="109"/>
      <c r="H112" s="110">
        <f t="shared" si="9"/>
        <v>0</v>
      </c>
      <c r="I112" s="110"/>
      <c r="J112" s="110"/>
      <c r="K112" s="111">
        <f t="shared" si="10"/>
        <v>0</v>
      </c>
      <c r="L112" s="111"/>
      <c r="M112" s="112">
        <f t="shared" si="7"/>
        <v>0</v>
      </c>
      <c r="N112" s="112"/>
      <c r="O112" s="112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09">
        <f t="shared" si="11"/>
        <v>0</v>
      </c>
      <c r="C113" s="109"/>
      <c r="D113" s="109"/>
      <c r="E113" s="109"/>
      <c r="F113" s="109"/>
      <c r="G113" s="109"/>
      <c r="H113" s="110">
        <f t="shared" si="9"/>
        <v>0</v>
      </c>
      <c r="I113" s="110"/>
      <c r="J113" s="110"/>
      <c r="K113" s="111">
        <f t="shared" si="10"/>
        <v>0</v>
      </c>
      <c r="L113" s="111"/>
      <c r="M113" s="112">
        <f t="shared" si="7"/>
        <v>0</v>
      </c>
      <c r="N113" s="112"/>
      <c r="O113" s="112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09">
        <f t="shared" si="11"/>
        <v>0</v>
      </c>
      <c r="C114" s="109"/>
      <c r="D114" s="109"/>
      <c r="E114" s="109"/>
      <c r="F114" s="109"/>
      <c r="G114" s="109"/>
      <c r="H114" s="110">
        <f t="shared" si="9"/>
        <v>0</v>
      </c>
      <c r="I114" s="110"/>
      <c r="J114" s="110"/>
      <c r="K114" s="111">
        <f t="shared" si="10"/>
        <v>0</v>
      </c>
      <c r="L114" s="111"/>
      <c r="M114" s="112">
        <f t="shared" si="7"/>
        <v>0</v>
      </c>
      <c r="N114" s="112"/>
      <c r="O114" s="112"/>
      <c r="P114" s="35">
        <f t="shared" si="8"/>
        <v>0</v>
      </c>
    </row>
    <row r="115" spans="1:22" ht="21.95" customHeight="1" thickBot="1" x14ac:dyDescent="0.3">
      <c r="A115" s="126" t="s">
        <v>17</v>
      </c>
      <c r="B115" s="127"/>
      <c r="C115" s="127"/>
      <c r="D115" s="127"/>
      <c r="E115" s="127"/>
      <c r="F115" s="127"/>
      <c r="G115" s="116"/>
      <c r="H115" s="128">
        <f>SUM(H95:J114)</f>
        <v>17</v>
      </c>
      <c r="I115" s="129"/>
      <c r="J115" s="130"/>
      <c r="K115" s="131">
        <f>SUM(K95:L114)</f>
        <v>1230</v>
      </c>
      <c r="L115" s="132"/>
      <c r="M115" s="133"/>
      <c r="N115" s="134"/>
      <c r="O115" s="135"/>
      <c r="P115" s="19"/>
    </row>
    <row r="117" spans="1:22" ht="31.9" customHeight="1" x14ac:dyDescent="0.25">
      <c r="A117" s="137" t="s">
        <v>22</v>
      </c>
      <c r="B117" s="138"/>
      <c r="C117" s="138"/>
      <c r="D117" s="139" t="str">
        <f>D77</f>
        <v>MD.ISMAEIL</v>
      </c>
      <c r="E117" s="139"/>
      <c r="F117" s="139"/>
      <c r="G117" s="138" t="s">
        <v>23</v>
      </c>
      <c r="H117" s="138"/>
      <c r="I117" s="138"/>
      <c r="J117" s="138"/>
      <c r="K117" s="138"/>
      <c r="L117" s="138"/>
      <c r="M117" s="140" t="str">
        <f>M77</f>
        <v>01766-040391</v>
      </c>
      <c r="N117" s="140"/>
      <c r="O117" s="140"/>
      <c r="P117" s="141"/>
    </row>
    <row r="118" spans="1:22" ht="31.9" customHeight="1" x14ac:dyDescent="0.25">
      <c r="A118" s="142" t="s">
        <v>24</v>
      </c>
      <c r="B118" s="143"/>
      <c r="C118" s="143"/>
      <c r="D118" s="144" t="str">
        <f>D78</f>
        <v>O138509</v>
      </c>
      <c r="E118" s="144"/>
      <c r="F118" s="144"/>
      <c r="G118" s="143" t="s">
        <v>25</v>
      </c>
      <c r="H118" s="143"/>
      <c r="I118" s="143"/>
      <c r="J118" s="143"/>
      <c r="K118" s="143"/>
      <c r="L118" s="143"/>
      <c r="M118" s="145" t="str">
        <f>M78</f>
        <v>D.M.TA 22-2381</v>
      </c>
      <c r="N118" s="145"/>
      <c r="O118" s="145"/>
      <c r="P118" s="146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36" t="s">
        <v>18</v>
      </c>
      <c r="B120" s="136"/>
      <c r="C120" s="136"/>
      <c r="D120" s="4"/>
      <c r="E120" s="4"/>
      <c r="F120" s="136" t="s">
        <v>19</v>
      </c>
      <c r="G120" s="136"/>
      <c r="H120" s="36"/>
      <c r="I120" s="36"/>
      <c r="J120" s="36"/>
      <c r="K120" s="4"/>
      <c r="L120" s="136" t="s">
        <v>20</v>
      </c>
      <c r="M120" s="136"/>
      <c r="N120" s="136"/>
      <c r="O120" s="136"/>
      <c r="P120" s="136"/>
    </row>
    <row r="121" spans="1:22" ht="8.25" customHeight="1" x14ac:dyDescent="0.25"/>
    <row r="122" spans="1:22" ht="36.75" customHeight="1" x14ac:dyDescent="0.25">
      <c r="A122" s="37"/>
      <c r="B122" s="37"/>
      <c r="C122" s="37"/>
      <c r="D122" s="38" t="s">
        <v>27</v>
      </c>
      <c r="E122" s="38"/>
      <c r="F122" s="38"/>
      <c r="G122" s="38"/>
      <c r="H122" s="38"/>
      <c r="I122" s="38"/>
      <c r="J122" s="38"/>
      <c r="K122" s="38"/>
      <c r="L122" s="38"/>
      <c r="M122" s="39" t="str">
        <f>M82</f>
        <v>FORM STR 03
REVISION NO 01</v>
      </c>
      <c r="N122" s="39"/>
      <c r="O122" s="39"/>
      <c r="P122" s="39"/>
      <c r="Q122" s="10"/>
    </row>
    <row r="123" spans="1:22" ht="22.15" customHeight="1" x14ac:dyDescent="0.25">
      <c r="A123" s="37"/>
      <c r="B123" s="37"/>
      <c r="C123" s="37"/>
      <c r="D123" s="38"/>
      <c r="E123" s="38"/>
      <c r="F123" s="38"/>
      <c r="G123" s="38"/>
      <c r="H123" s="38"/>
      <c r="I123" s="38"/>
      <c r="J123" s="38"/>
      <c r="K123" s="38"/>
      <c r="L123" s="38"/>
      <c r="M123" s="39"/>
      <c r="N123" s="39"/>
      <c r="O123" s="39"/>
      <c r="P123" s="39"/>
      <c r="Q123" s="10"/>
    </row>
    <row r="124" spans="1:22" ht="17.45" customHeight="1" x14ac:dyDescent="0.25">
      <c r="A124" s="40"/>
      <c r="B124" s="40"/>
      <c r="C124" s="40"/>
      <c r="D124" s="41" t="s">
        <v>21</v>
      </c>
      <c r="E124" s="41"/>
      <c r="F124" s="41"/>
      <c r="G124" s="41"/>
      <c r="H124" s="41"/>
      <c r="I124" s="41"/>
      <c r="J124" s="41"/>
      <c r="K124" s="41"/>
      <c r="L124" s="41"/>
      <c r="M124" s="11"/>
    </row>
    <row r="125" spans="1:22" ht="22.15" customHeight="1" thickBot="1" x14ac:dyDescent="0.35">
      <c r="A125" s="42"/>
      <c r="B125" s="42"/>
      <c r="C125" s="1"/>
      <c r="D125" s="43" t="s">
        <v>92</v>
      </c>
      <c r="E125" s="43"/>
      <c r="F125" s="43"/>
      <c r="G125" s="43"/>
      <c r="H125" s="43"/>
      <c r="I125" s="43"/>
      <c r="J125" s="43"/>
      <c r="K125" s="43"/>
      <c r="L125" s="43"/>
      <c r="M125" s="2"/>
      <c r="N125" s="37"/>
      <c r="O125" s="37"/>
      <c r="P125" s="37"/>
    </row>
    <row r="126" spans="1:22" ht="15.6" customHeight="1" thickBot="1" x14ac:dyDescent="0.35">
      <c r="A126" s="71" t="s">
        <v>9</v>
      </c>
      <c r="B126" s="72"/>
      <c r="C126" s="73" t="str">
        <f>C86</f>
        <v>O547</v>
      </c>
      <c r="D126" s="73"/>
      <c r="E126" s="73"/>
      <c r="F126" s="74"/>
      <c r="G126" s="2"/>
      <c r="H126" s="75" t="s">
        <v>4</v>
      </c>
      <c r="I126" s="76"/>
      <c r="J126" s="76"/>
      <c r="K126" s="8" t="s">
        <v>7</v>
      </c>
      <c r="L126" s="77" t="str">
        <f>L86</f>
        <v>JP 523807</v>
      </c>
      <c r="M126" s="77"/>
      <c r="N126" s="77"/>
      <c r="O126" s="77"/>
      <c r="P126" s="78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52" t="s">
        <v>5</v>
      </c>
      <c r="I127" s="53"/>
      <c r="J127" s="53"/>
      <c r="K127" s="9" t="s">
        <v>7</v>
      </c>
      <c r="L127" s="79">
        <f>L87</f>
        <v>45687</v>
      </c>
      <c r="M127" s="79"/>
      <c r="N127" s="79"/>
      <c r="O127" s="79"/>
      <c r="P127" s="80"/>
      <c r="R127" s="88"/>
      <c r="S127" s="88"/>
      <c r="T127" s="147"/>
      <c r="U127" s="26"/>
      <c r="V127" s="147"/>
    </row>
    <row r="128" spans="1:22" ht="18" customHeight="1" x14ac:dyDescent="0.3">
      <c r="A128" s="46" t="str">
        <f>A88</f>
        <v>KDS Logistics Ltd.
Ghoramara, Sonalchari, Sitakunda
Chattogram 4318, Bangladesh.</v>
      </c>
      <c r="B128" s="47"/>
      <c r="C128" s="47"/>
      <c r="D128" s="47"/>
      <c r="E128" s="47"/>
      <c r="F128" s="48"/>
      <c r="G128" s="2"/>
      <c r="H128" s="52" t="s">
        <v>8</v>
      </c>
      <c r="I128" s="53"/>
      <c r="J128" s="53"/>
      <c r="K128" s="9" t="s">
        <v>7</v>
      </c>
      <c r="L128" s="54" t="str">
        <f>L88</f>
        <v>SEA</v>
      </c>
      <c r="M128" s="54"/>
      <c r="N128" s="54"/>
      <c r="O128" s="54"/>
      <c r="P128" s="55"/>
      <c r="R128" s="88"/>
      <c r="S128" s="88"/>
      <c r="T128" s="148"/>
      <c r="U128" s="26"/>
      <c r="V128" s="148"/>
    </row>
    <row r="129" spans="1:22" ht="17.25" x14ac:dyDescent="0.3">
      <c r="A129" s="46"/>
      <c r="B129" s="47"/>
      <c r="C129" s="47"/>
      <c r="D129" s="47"/>
      <c r="E129" s="47"/>
      <c r="F129" s="48"/>
      <c r="G129" s="2"/>
      <c r="H129" s="56" t="s">
        <v>6</v>
      </c>
      <c r="I129" s="57"/>
      <c r="J129" s="57"/>
      <c r="K129" s="62" t="s">
        <v>7</v>
      </c>
      <c r="L129" s="65" t="str">
        <f>L89</f>
        <v>M/S. Kabir &amp; Co.
1104DT Road West Madarbari,
Chattogram, Bangladesh.</v>
      </c>
      <c r="M129" s="65"/>
      <c r="N129" s="65"/>
      <c r="O129" s="65"/>
      <c r="P129" s="66"/>
      <c r="R129" s="88"/>
      <c r="S129" s="88"/>
      <c r="T129" s="148"/>
      <c r="U129" s="26"/>
      <c r="V129" s="148"/>
    </row>
    <row r="130" spans="1:22" ht="18" thickBot="1" x14ac:dyDescent="0.35">
      <c r="A130" s="49"/>
      <c r="B130" s="50"/>
      <c r="C130" s="50"/>
      <c r="D130" s="50"/>
      <c r="E130" s="50"/>
      <c r="F130" s="51"/>
      <c r="G130" s="2"/>
      <c r="H130" s="58"/>
      <c r="I130" s="59"/>
      <c r="J130" s="59"/>
      <c r="K130" s="63"/>
      <c r="L130" s="67"/>
      <c r="M130" s="67"/>
      <c r="N130" s="67"/>
      <c r="O130" s="67"/>
      <c r="P130" s="68"/>
      <c r="R130" s="88"/>
      <c r="S130" s="88"/>
      <c r="T130" s="147"/>
      <c r="U130" s="26"/>
      <c r="V130" s="147"/>
    </row>
    <row r="131" spans="1:22" ht="18" customHeight="1" thickBot="1" x14ac:dyDescent="0.35">
      <c r="A131" s="42"/>
      <c r="B131" s="42"/>
      <c r="C131" s="1"/>
      <c r="D131" s="2"/>
      <c r="E131" s="2"/>
      <c r="F131" s="2"/>
      <c r="G131" s="2"/>
      <c r="H131" s="60"/>
      <c r="I131" s="61"/>
      <c r="J131" s="61"/>
      <c r="K131" s="64"/>
      <c r="L131" s="69"/>
      <c r="M131" s="69"/>
      <c r="N131" s="69"/>
      <c r="O131" s="69"/>
      <c r="P131" s="70"/>
      <c r="R131" s="88"/>
      <c r="S131" s="88"/>
      <c r="T131" s="147"/>
      <c r="U131" s="26"/>
      <c r="V131" s="148"/>
    </row>
    <row r="132" spans="1:22" ht="16.149999999999999" customHeight="1" x14ac:dyDescent="0.25">
      <c r="A132" s="103" t="s">
        <v>12</v>
      </c>
      <c r="B132" s="104"/>
      <c r="C132" s="105" t="s">
        <v>0</v>
      </c>
      <c r="D132" s="105"/>
      <c r="E132" s="105"/>
      <c r="F132" s="105"/>
      <c r="G132" s="105"/>
      <c r="H132" s="81" t="s">
        <v>1</v>
      </c>
      <c r="I132" s="82"/>
      <c r="J132" s="82"/>
      <c r="K132" s="82"/>
      <c r="L132" s="83"/>
      <c r="M132" s="84" t="s">
        <v>16</v>
      </c>
      <c r="N132" s="85"/>
      <c r="O132" s="86"/>
      <c r="P132" s="149" t="s">
        <v>3</v>
      </c>
      <c r="R132" s="88"/>
      <c r="S132" s="88"/>
      <c r="T132" s="147"/>
      <c r="U132" s="26"/>
      <c r="V132" s="148"/>
    </row>
    <row r="133" spans="1:22" ht="16.149999999999999" customHeight="1" x14ac:dyDescent="0.25">
      <c r="A133" s="3" t="s">
        <v>13</v>
      </c>
      <c r="B133" s="33">
        <f>B93</f>
        <v>0</v>
      </c>
      <c r="C133" s="96" t="str">
        <f>C93</f>
        <v>Delivery of Readymade Garments</v>
      </c>
      <c r="D133" s="96"/>
      <c r="E133" s="96"/>
      <c r="F133" s="96"/>
      <c r="G133" s="96"/>
      <c r="H133" s="165" t="s">
        <v>2</v>
      </c>
      <c r="I133" s="166"/>
      <c r="J133" s="167"/>
      <c r="K133" s="165" t="s">
        <v>15</v>
      </c>
      <c r="L133" s="167"/>
      <c r="M133" s="87"/>
      <c r="N133" s="88"/>
      <c r="O133" s="89"/>
      <c r="P133" s="150"/>
      <c r="R133" s="88"/>
      <c r="S133" s="88"/>
      <c r="T133" s="147"/>
      <c r="V133" s="147"/>
    </row>
    <row r="134" spans="1:22" ht="16.149999999999999" customHeight="1" thickBot="1" x14ac:dyDescent="0.3">
      <c r="A134" s="113" t="s">
        <v>11</v>
      </c>
      <c r="B134" s="114"/>
      <c r="C134" s="115" t="str">
        <f>C94</f>
        <v>H &amp; M</v>
      </c>
      <c r="D134" s="116"/>
      <c r="E134" s="117" t="s">
        <v>88</v>
      </c>
      <c r="F134" s="118"/>
      <c r="G134" s="114"/>
      <c r="H134" s="100"/>
      <c r="I134" s="101"/>
      <c r="J134" s="102"/>
      <c r="K134" s="100"/>
      <c r="L134" s="102"/>
      <c r="M134" s="90"/>
      <c r="N134" s="91"/>
      <c r="O134" s="92"/>
      <c r="P134" s="151"/>
      <c r="R134" s="88"/>
      <c r="S134" s="88"/>
      <c r="T134" s="147"/>
      <c r="V134" s="148"/>
    </row>
    <row r="135" spans="1:22" ht="25.15" customHeight="1" x14ac:dyDescent="0.25">
      <c r="A135" s="31">
        <f>A95</f>
        <v>0</v>
      </c>
      <c r="B135" s="119" t="str">
        <f>B95</f>
        <v>294223-5832</v>
      </c>
      <c r="C135" s="119"/>
      <c r="D135" s="119"/>
      <c r="E135" s="119"/>
      <c r="F135" s="119"/>
      <c r="G135" s="119"/>
      <c r="H135" s="160">
        <f>H95</f>
        <v>5</v>
      </c>
      <c r="I135" s="161"/>
      <c r="J135" s="162"/>
      <c r="K135" s="163">
        <f>K95</f>
        <v>479</v>
      </c>
      <c r="L135" s="164"/>
      <c r="M135" s="106" t="str">
        <f>M95</f>
        <v>MY</v>
      </c>
      <c r="N135" s="107"/>
      <c r="O135" s="108"/>
      <c r="P135" s="34">
        <f>P95</f>
        <v>0</v>
      </c>
      <c r="R135" s="88"/>
      <c r="S135" s="88"/>
      <c r="T135" s="147"/>
      <c r="V135" s="148"/>
    </row>
    <row r="136" spans="1:22" ht="25.15" customHeight="1" x14ac:dyDescent="0.25">
      <c r="A136" s="32">
        <f>A96</f>
        <v>0</v>
      </c>
      <c r="B136" s="109" t="str">
        <f>B96</f>
        <v>296214-5832</v>
      </c>
      <c r="C136" s="109"/>
      <c r="D136" s="109"/>
      <c r="E136" s="109"/>
      <c r="F136" s="109"/>
      <c r="G136" s="109"/>
      <c r="H136" s="152">
        <f>H96</f>
        <v>1</v>
      </c>
      <c r="I136" s="153"/>
      <c r="J136" s="154"/>
      <c r="K136" s="155">
        <f>K96</f>
        <v>24</v>
      </c>
      <c r="L136" s="156"/>
      <c r="M136" s="157" t="str">
        <f>M96</f>
        <v>NH</v>
      </c>
      <c r="N136" s="158"/>
      <c r="O136" s="159"/>
      <c r="P136" s="35">
        <f>P96</f>
        <v>0</v>
      </c>
      <c r="R136" s="88"/>
      <c r="S136" s="88"/>
      <c r="T136" s="67"/>
      <c r="V136" s="147"/>
    </row>
    <row r="137" spans="1:22" ht="25.15" customHeight="1" x14ac:dyDescent="0.25">
      <c r="A137" s="32">
        <f t="shared" ref="A137:B152" si="12">A97</f>
        <v>0</v>
      </c>
      <c r="B137" s="109" t="str">
        <f t="shared" si="12"/>
        <v>327483-7952</v>
      </c>
      <c r="C137" s="109"/>
      <c r="D137" s="109"/>
      <c r="E137" s="109"/>
      <c r="F137" s="109"/>
      <c r="G137" s="109"/>
      <c r="H137" s="152">
        <f>H97</f>
        <v>3</v>
      </c>
      <c r="I137" s="153"/>
      <c r="J137" s="154"/>
      <c r="K137" s="155">
        <f>K97</f>
        <v>118</v>
      </c>
      <c r="L137" s="156"/>
      <c r="M137" s="157" t="str">
        <f t="shared" ref="M137:M154" si="13">M97</f>
        <v>LD</v>
      </c>
      <c r="N137" s="158"/>
      <c r="O137" s="159"/>
      <c r="P137" s="35">
        <f t="shared" ref="P137:P154" si="14">P97</f>
        <v>0</v>
      </c>
      <c r="R137" s="88"/>
      <c r="S137" s="88"/>
      <c r="T137" s="67"/>
      <c r="V137" s="148"/>
    </row>
    <row r="138" spans="1:22" ht="25.15" customHeight="1" x14ac:dyDescent="0.25">
      <c r="A138" s="32">
        <f t="shared" si="12"/>
        <v>0</v>
      </c>
      <c r="B138" s="109" t="str">
        <f t="shared" si="12"/>
        <v>307355-5832</v>
      </c>
      <c r="C138" s="109"/>
      <c r="D138" s="109"/>
      <c r="E138" s="109"/>
      <c r="F138" s="109"/>
      <c r="G138" s="109"/>
      <c r="H138" s="152">
        <f t="shared" ref="H138:H154" si="15">H98</f>
        <v>1</v>
      </c>
      <c r="I138" s="153"/>
      <c r="J138" s="154"/>
      <c r="K138" s="155">
        <f t="shared" ref="K138:K154" si="16">K98</f>
        <v>63</v>
      </c>
      <c r="L138" s="156"/>
      <c r="M138" s="157" t="str">
        <f t="shared" si="13"/>
        <v>NH</v>
      </c>
      <c r="N138" s="158"/>
      <c r="O138" s="159"/>
      <c r="P138" s="35">
        <f t="shared" si="14"/>
        <v>0</v>
      </c>
      <c r="R138" s="88"/>
      <c r="S138" s="88"/>
      <c r="T138" s="67"/>
      <c r="V138" s="148"/>
    </row>
    <row r="139" spans="1:22" ht="25.15" customHeight="1" x14ac:dyDescent="0.25">
      <c r="A139" s="32">
        <f t="shared" si="12"/>
        <v>0</v>
      </c>
      <c r="B139" s="109" t="str">
        <f t="shared" si="12"/>
        <v>324425-5832</v>
      </c>
      <c r="C139" s="109"/>
      <c r="D139" s="109"/>
      <c r="E139" s="109"/>
      <c r="F139" s="109"/>
      <c r="G139" s="109"/>
      <c r="H139" s="152">
        <f t="shared" si="15"/>
        <v>5</v>
      </c>
      <c r="I139" s="153"/>
      <c r="J139" s="154"/>
      <c r="K139" s="155">
        <f t="shared" si="16"/>
        <v>377</v>
      </c>
      <c r="L139" s="156"/>
      <c r="M139" s="157" t="str">
        <f t="shared" si="13"/>
        <v>MX</v>
      </c>
      <c r="N139" s="158"/>
      <c r="O139" s="159"/>
      <c r="P139" s="35">
        <f t="shared" si="14"/>
        <v>0</v>
      </c>
      <c r="R139" s="88"/>
      <c r="S139" s="88"/>
      <c r="T139" s="67"/>
      <c r="V139" s="147"/>
    </row>
    <row r="140" spans="1:22" ht="25.15" customHeight="1" x14ac:dyDescent="0.25">
      <c r="A140" s="32">
        <f t="shared" si="12"/>
        <v>0</v>
      </c>
      <c r="B140" s="109" t="str">
        <f t="shared" si="12"/>
        <v>300718-5832</v>
      </c>
      <c r="C140" s="109"/>
      <c r="D140" s="109"/>
      <c r="E140" s="109"/>
      <c r="F140" s="109"/>
      <c r="G140" s="109"/>
      <c r="H140" s="152">
        <f t="shared" si="15"/>
        <v>1</v>
      </c>
      <c r="I140" s="153"/>
      <c r="J140" s="154"/>
      <c r="K140" s="155">
        <f t="shared" si="16"/>
        <v>105</v>
      </c>
      <c r="L140" s="156"/>
      <c r="M140" s="157" t="str">
        <f t="shared" si="13"/>
        <v>NH</v>
      </c>
      <c r="N140" s="158"/>
      <c r="O140" s="159"/>
      <c r="P140" s="35">
        <f t="shared" si="14"/>
        <v>0</v>
      </c>
      <c r="R140" s="88"/>
      <c r="S140" s="88"/>
      <c r="T140" s="67"/>
      <c r="V140" s="148"/>
    </row>
    <row r="141" spans="1:22" ht="25.15" customHeight="1" x14ac:dyDescent="0.25">
      <c r="A141" s="32">
        <f t="shared" si="12"/>
        <v>0</v>
      </c>
      <c r="B141" s="109" t="str">
        <f t="shared" si="12"/>
        <v>300719-5832</v>
      </c>
      <c r="C141" s="109"/>
      <c r="D141" s="109"/>
      <c r="E141" s="109"/>
      <c r="F141" s="109"/>
      <c r="G141" s="109"/>
      <c r="H141" s="152">
        <f t="shared" si="15"/>
        <v>1</v>
      </c>
      <c r="I141" s="153"/>
      <c r="J141" s="154"/>
      <c r="K141" s="155">
        <f t="shared" si="16"/>
        <v>64</v>
      </c>
      <c r="L141" s="156"/>
      <c r="M141" s="157" t="str">
        <f t="shared" si="13"/>
        <v>NH</v>
      </c>
      <c r="N141" s="158"/>
      <c r="O141" s="159"/>
      <c r="P141" s="35">
        <f t="shared" si="14"/>
        <v>0</v>
      </c>
      <c r="R141" s="88"/>
      <c r="S141" s="88"/>
      <c r="T141" s="67"/>
      <c r="V141" s="148"/>
    </row>
    <row r="142" spans="1:22" ht="25.15" customHeight="1" x14ac:dyDescent="0.25">
      <c r="A142" s="32">
        <f t="shared" si="12"/>
        <v>0</v>
      </c>
      <c r="B142" s="109">
        <f t="shared" si="12"/>
        <v>0</v>
      </c>
      <c r="C142" s="109"/>
      <c r="D142" s="109"/>
      <c r="E142" s="109"/>
      <c r="F142" s="109"/>
      <c r="G142" s="109"/>
      <c r="H142" s="152">
        <f t="shared" si="15"/>
        <v>0</v>
      </c>
      <c r="I142" s="153"/>
      <c r="J142" s="154"/>
      <c r="K142" s="155">
        <f t="shared" si="16"/>
        <v>0</v>
      </c>
      <c r="L142" s="156"/>
      <c r="M142" s="157">
        <f t="shared" si="13"/>
        <v>0</v>
      </c>
      <c r="N142" s="158"/>
      <c r="O142" s="159"/>
      <c r="P142" s="35">
        <f t="shared" si="14"/>
        <v>0</v>
      </c>
      <c r="R142" s="88"/>
      <c r="S142" s="88"/>
      <c r="T142" s="67"/>
    </row>
    <row r="143" spans="1:22" ht="25.15" customHeight="1" x14ac:dyDescent="0.25">
      <c r="A143" s="32">
        <f t="shared" si="12"/>
        <v>0</v>
      </c>
      <c r="B143" s="109">
        <f t="shared" si="12"/>
        <v>0</v>
      </c>
      <c r="C143" s="109"/>
      <c r="D143" s="109"/>
      <c r="E143" s="109"/>
      <c r="F143" s="109"/>
      <c r="G143" s="109"/>
      <c r="H143" s="152">
        <f t="shared" si="15"/>
        <v>0</v>
      </c>
      <c r="I143" s="153"/>
      <c r="J143" s="154"/>
      <c r="K143" s="155">
        <f t="shared" si="16"/>
        <v>0</v>
      </c>
      <c r="L143" s="156"/>
      <c r="M143" s="157">
        <f t="shared" si="13"/>
        <v>0</v>
      </c>
      <c r="N143" s="158"/>
      <c r="O143" s="159"/>
      <c r="P143" s="35">
        <f t="shared" si="14"/>
        <v>0</v>
      </c>
      <c r="R143" s="88"/>
      <c r="S143" s="88"/>
      <c r="T143" s="67"/>
    </row>
    <row r="144" spans="1:22" ht="25.15" customHeight="1" x14ac:dyDescent="0.25">
      <c r="A144" s="32">
        <f t="shared" si="12"/>
        <v>0</v>
      </c>
      <c r="B144" s="109">
        <f t="shared" si="12"/>
        <v>0</v>
      </c>
      <c r="C144" s="109"/>
      <c r="D144" s="109"/>
      <c r="E144" s="109"/>
      <c r="F144" s="109"/>
      <c r="G144" s="109"/>
      <c r="H144" s="152">
        <f t="shared" si="15"/>
        <v>0</v>
      </c>
      <c r="I144" s="153"/>
      <c r="J144" s="154"/>
      <c r="K144" s="155">
        <f t="shared" si="16"/>
        <v>0</v>
      </c>
      <c r="L144" s="156"/>
      <c r="M144" s="157">
        <f t="shared" si="13"/>
        <v>0</v>
      </c>
      <c r="N144" s="158"/>
      <c r="O144" s="159"/>
      <c r="P144" s="35">
        <f t="shared" si="14"/>
        <v>0</v>
      </c>
      <c r="R144" s="88"/>
      <c r="S144" s="88"/>
      <c r="T144" s="67"/>
    </row>
    <row r="145" spans="1:20" ht="25.15" customHeight="1" x14ac:dyDescent="0.25">
      <c r="A145" s="32">
        <f t="shared" si="12"/>
        <v>0</v>
      </c>
      <c r="B145" s="109">
        <f t="shared" si="12"/>
        <v>0</v>
      </c>
      <c r="C145" s="109"/>
      <c r="D145" s="109"/>
      <c r="E145" s="109"/>
      <c r="F145" s="109"/>
      <c r="G145" s="109"/>
      <c r="H145" s="152">
        <f t="shared" si="15"/>
        <v>0</v>
      </c>
      <c r="I145" s="153"/>
      <c r="J145" s="154"/>
      <c r="K145" s="155">
        <f t="shared" si="16"/>
        <v>0</v>
      </c>
      <c r="L145" s="156"/>
      <c r="M145" s="157">
        <f t="shared" si="13"/>
        <v>0</v>
      </c>
      <c r="N145" s="158"/>
      <c r="O145" s="159"/>
      <c r="P145" s="35">
        <f t="shared" si="14"/>
        <v>0</v>
      </c>
      <c r="R145" s="88"/>
      <c r="S145" s="88"/>
      <c r="T145" s="67"/>
    </row>
    <row r="146" spans="1:20" ht="25.15" customHeight="1" x14ac:dyDescent="0.25">
      <c r="A146" s="32">
        <f t="shared" si="12"/>
        <v>0</v>
      </c>
      <c r="B146" s="109">
        <f t="shared" si="12"/>
        <v>0</v>
      </c>
      <c r="C146" s="109"/>
      <c r="D146" s="109"/>
      <c r="E146" s="109"/>
      <c r="F146" s="109"/>
      <c r="G146" s="109"/>
      <c r="H146" s="152">
        <f t="shared" si="15"/>
        <v>0</v>
      </c>
      <c r="I146" s="153"/>
      <c r="J146" s="154"/>
      <c r="K146" s="155">
        <f t="shared" si="16"/>
        <v>0</v>
      </c>
      <c r="L146" s="156"/>
      <c r="M146" s="157">
        <f t="shared" si="13"/>
        <v>0</v>
      </c>
      <c r="N146" s="158"/>
      <c r="O146" s="159"/>
      <c r="P146" s="35">
        <f t="shared" si="14"/>
        <v>0</v>
      </c>
      <c r="R146" s="88"/>
      <c r="S146" s="88"/>
      <c r="T146" s="67"/>
    </row>
    <row r="147" spans="1:20" ht="25.15" customHeight="1" x14ac:dyDescent="0.25">
      <c r="A147" s="32">
        <f t="shared" si="12"/>
        <v>0</v>
      </c>
      <c r="B147" s="109">
        <f t="shared" si="12"/>
        <v>0</v>
      </c>
      <c r="C147" s="109"/>
      <c r="D147" s="109"/>
      <c r="E147" s="109"/>
      <c r="F147" s="109"/>
      <c r="G147" s="109"/>
      <c r="H147" s="152">
        <f t="shared" si="15"/>
        <v>0</v>
      </c>
      <c r="I147" s="153"/>
      <c r="J147" s="154"/>
      <c r="K147" s="155">
        <f t="shared" si="16"/>
        <v>0</v>
      </c>
      <c r="L147" s="156"/>
      <c r="M147" s="157">
        <f t="shared" si="13"/>
        <v>0</v>
      </c>
      <c r="N147" s="158"/>
      <c r="O147" s="159"/>
      <c r="P147" s="35">
        <f t="shared" si="14"/>
        <v>0</v>
      </c>
      <c r="R147" s="88"/>
      <c r="S147" s="88"/>
      <c r="T147" s="67"/>
    </row>
    <row r="148" spans="1:20" ht="25.15" customHeight="1" x14ac:dyDescent="0.25">
      <c r="A148" s="32">
        <f t="shared" si="12"/>
        <v>0</v>
      </c>
      <c r="B148" s="109">
        <f t="shared" si="12"/>
        <v>0</v>
      </c>
      <c r="C148" s="109"/>
      <c r="D148" s="109"/>
      <c r="E148" s="109"/>
      <c r="F148" s="109"/>
      <c r="G148" s="109"/>
      <c r="H148" s="152">
        <f t="shared" si="15"/>
        <v>0</v>
      </c>
      <c r="I148" s="153"/>
      <c r="J148" s="154"/>
      <c r="K148" s="155">
        <f t="shared" si="16"/>
        <v>0</v>
      </c>
      <c r="L148" s="156"/>
      <c r="M148" s="157">
        <f t="shared" si="13"/>
        <v>0</v>
      </c>
      <c r="N148" s="158"/>
      <c r="O148" s="159"/>
      <c r="P148" s="35">
        <f t="shared" si="14"/>
        <v>0</v>
      </c>
      <c r="R148" s="88"/>
      <c r="S148" s="88"/>
      <c r="T148" s="67"/>
    </row>
    <row r="149" spans="1:20" ht="25.15" customHeight="1" x14ac:dyDescent="0.25">
      <c r="A149" s="32">
        <f t="shared" si="12"/>
        <v>0</v>
      </c>
      <c r="B149" s="109">
        <f t="shared" si="12"/>
        <v>0</v>
      </c>
      <c r="C149" s="109"/>
      <c r="D149" s="109"/>
      <c r="E149" s="109"/>
      <c r="F149" s="109"/>
      <c r="G149" s="109"/>
      <c r="H149" s="152">
        <f t="shared" si="15"/>
        <v>0</v>
      </c>
      <c r="I149" s="153"/>
      <c r="J149" s="154"/>
      <c r="K149" s="155">
        <f t="shared" si="16"/>
        <v>0</v>
      </c>
      <c r="L149" s="156"/>
      <c r="M149" s="157">
        <f t="shared" si="13"/>
        <v>0</v>
      </c>
      <c r="N149" s="158"/>
      <c r="O149" s="159"/>
      <c r="P149" s="35">
        <f t="shared" si="14"/>
        <v>0</v>
      </c>
      <c r="R149" s="88"/>
      <c r="S149" s="88"/>
      <c r="T149" s="67"/>
    </row>
    <row r="150" spans="1:20" ht="25.15" customHeight="1" x14ac:dyDescent="0.25">
      <c r="A150" s="32">
        <f t="shared" si="12"/>
        <v>0</v>
      </c>
      <c r="B150" s="109">
        <f t="shared" si="12"/>
        <v>0</v>
      </c>
      <c r="C150" s="109"/>
      <c r="D150" s="109"/>
      <c r="E150" s="109"/>
      <c r="F150" s="109"/>
      <c r="G150" s="109"/>
      <c r="H150" s="152">
        <f t="shared" si="15"/>
        <v>0</v>
      </c>
      <c r="I150" s="153"/>
      <c r="J150" s="154"/>
      <c r="K150" s="155">
        <f t="shared" si="16"/>
        <v>0</v>
      </c>
      <c r="L150" s="156"/>
      <c r="M150" s="157">
        <f t="shared" si="13"/>
        <v>0</v>
      </c>
      <c r="N150" s="158"/>
      <c r="O150" s="159"/>
      <c r="P150" s="35">
        <f t="shared" si="14"/>
        <v>0</v>
      </c>
      <c r="R150" s="88"/>
      <c r="S150" s="88"/>
      <c r="T150" s="67"/>
    </row>
    <row r="151" spans="1:20" ht="25.15" customHeight="1" x14ac:dyDescent="0.25">
      <c r="A151" s="32">
        <f t="shared" si="12"/>
        <v>0</v>
      </c>
      <c r="B151" s="109">
        <f t="shared" si="12"/>
        <v>0</v>
      </c>
      <c r="C151" s="109"/>
      <c r="D151" s="109"/>
      <c r="E151" s="109"/>
      <c r="F151" s="109"/>
      <c r="G151" s="109"/>
      <c r="H151" s="152">
        <f t="shared" si="15"/>
        <v>0</v>
      </c>
      <c r="I151" s="153"/>
      <c r="J151" s="154"/>
      <c r="K151" s="155">
        <f t="shared" si="16"/>
        <v>0</v>
      </c>
      <c r="L151" s="156"/>
      <c r="M151" s="157">
        <f t="shared" si="13"/>
        <v>0</v>
      </c>
      <c r="N151" s="158"/>
      <c r="O151" s="159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09">
        <f t="shared" si="12"/>
        <v>0</v>
      </c>
      <c r="C152" s="109"/>
      <c r="D152" s="109"/>
      <c r="E152" s="109"/>
      <c r="F152" s="109"/>
      <c r="G152" s="109"/>
      <c r="H152" s="152">
        <f t="shared" si="15"/>
        <v>0</v>
      </c>
      <c r="I152" s="153"/>
      <c r="J152" s="154"/>
      <c r="K152" s="155">
        <f t="shared" si="16"/>
        <v>0</v>
      </c>
      <c r="L152" s="156"/>
      <c r="M152" s="157">
        <f t="shared" si="13"/>
        <v>0</v>
      </c>
      <c r="N152" s="158"/>
      <c r="O152" s="159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09">
        <f t="shared" si="17"/>
        <v>0</v>
      </c>
      <c r="C153" s="109"/>
      <c r="D153" s="109"/>
      <c r="E153" s="109"/>
      <c r="F153" s="109"/>
      <c r="G153" s="109"/>
      <c r="H153" s="152">
        <f t="shared" si="15"/>
        <v>0</v>
      </c>
      <c r="I153" s="153"/>
      <c r="J153" s="154"/>
      <c r="K153" s="155">
        <f t="shared" si="16"/>
        <v>0</v>
      </c>
      <c r="L153" s="156"/>
      <c r="M153" s="157">
        <f t="shared" si="13"/>
        <v>0</v>
      </c>
      <c r="N153" s="158"/>
      <c r="O153" s="159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09">
        <f t="shared" si="17"/>
        <v>0</v>
      </c>
      <c r="C154" s="109"/>
      <c r="D154" s="109"/>
      <c r="E154" s="109"/>
      <c r="F154" s="109"/>
      <c r="G154" s="109"/>
      <c r="H154" s="152">
        <f t="shared" si="15"/>
        <v>0</v>
      </c>
      <c r="I154" s="153"/>
      <c r="J154" s="154"/>
      <c r="K154" s="155">
        <f t="shared" si="16"/>
        <v>0</v>
      </c>
      <c r="L154" s="156"/>
      <c r="M154" s="157">
        <f t="shared" si="13"/>
        <v>0</v>
      </c>
      <c r="N154" s="158"/>
      <c r="O154" s="159"/>
      <c r="P154" s="35">
        <f t="shared" si="14"/>
        <v>0</v>
      </c>
    </row>
    <row r="155" spans="1:20" ht="21.95" customHeight="1" thickBot="1" x14ac:dyDescent="0.3">
      <c r="A155" s="126" t="s">
        <v>17</v>
      </c>
      <c r="B155" s="127"/>
      <c r="C155" s="127"/>
      <c r="D155" s="127"/>
      <c r="E155" s="127"/>
      <c r="F155" s="127"/>
      <c r="G155" s="116"/>
      <c r="H155" s="128">
        <f>SUM(H135:J154)</f>
        <v>17</v>
      </c>
      <c r="I155" s="168"/>
      <c r="J155" s="169"/>
      <c r="K155" s="131">
        <f>SUM(K135:L154)</f>
        <v>1230</v>
      </c>
      <c r="L155" s="132"/>
      <c r="M155" s="133"/>
      <c r="N155" s="134"/>
      <c r="O155" s="135"/>
      <c r="P155" s="19"/>
    </row>
    <row r="157" spans="1:20" ht="31.9" customHeight="1" x14ac:dyDescent="0.25">
      <c r="A157" s="137" t="s">
        <v>22</v>
      </c>
      <c r="B157" s="138"/>
      <c r="C157" s="138"/>
      <c r="D157" s="139" t="str">
        <f>D117</f>
        <v>MD.ISMAEIL</v>
      </c>
      <c r="E157" s="139"/>
      <c r="F157" s="139"/>
      <c r="G157" s="138" t="s">
        <v>23</v>
      </c>
      <c r="H157" s="138"/>
      <c r="I157" s="138"/>
      <c r="J157" s="138"/>
      <c r="K157" s="138"/>
      <c r="L157" s="138"/>
      <c r="M157" s="140" t="str">
        <f>M117</f>
        <v>01766-040391</v>
      </c>
      <c r="N157" s="140"/>
      <c r="O157" s="140"/>
      <c r="P157" s="141"/>
    </row>
    <row r="158" spans="1:20" ht="31.9" customHeight="1" x14ac:dyDescent="0.25">
      <c r="A158" s="142" t="s">
        <v>24</v>
      </c>
      <c r="B158" s="143"/>
      <c r="C158" s="143"/>
      <c r="D158" s="144" t="str">
        <f>D118</f>
        <v>O138509</v>
      </c>
      <c r="E158" s="144"/>
      <c r="F158" s="144"/>
      <c r="G158" s="143" t="s">
        <v>25</v>
      </c>
      <c r="H158" s="143"/>
      <c r="I158" s="143"/>
      <c r="J158" s="143"/>
      <c r="K158" s="143"/>
      <c r="L158" s="143"/>
      <c r="M158" s="145" t="str">
        <f>M118</f>
        <v>D.M.TA 22-2381</v>
      </c>
      <c r="N158" s="145"/>
      <c r="O158" s="145"/>
      <c r="P158" s="146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36" t="s">
        <v>18</v>
      </c>
      <c r="B160" s="136"/>
      <c r="C160" s="136"/>
      <c r="D160" s="4"/>
      <c r="E160" s="4"/>
      <c r="F160" s="136" t="s">
        <v>19</v>
      </c>
      <c r="G160" s="136"/>
      <c r="H160" s="36"/>
      <c r="I160" s="36"/>
      <c r="J160" s="36"/>
      <c r="K160" s="4"/>
      <c r="L160" s="136" t="s">
        <v>20</v>
      </c>
      <c r="M160" s="136"/>
      <c r="N160" s="136"/>
      <c r="O160" s="136"/>
      <c r="P160" s="136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26:G26"/>
    <mergeCell ref="H26:J26"/>
    <mergeCell ref="K26:L26"/>
    <mergeCell ref="M26:O26"/>
    <mergeCell ref="B27:G27"/>
    <mergeCell ref="H27:J27"/>
    <mergeCell ref="K27:L27"/>
    <mergeCell ref="M27:O27"/>
    <mergeCell ref="B24:G24"/>
    <mergeCell ref="H24:J24"/>
    <mergeCell ref="K24:L24"/>
    <mergeCell ref="M24:O24"/>
    <mergeCell ref="B25:G25"/>
    <mergeCell ref="H25:J25"/>
    <mergeCell ref="K25:L25"/>
    <mergeCell ref="M25:O25"/>
    <mergeCell ref="V16:V18"/>
    <mergeCell ref="B17:G17"/>
    <mergeCell ref="H17:J17"/>
    <mergeCell ref="K17:L17"/>
    <mergeCell ref="M17:O17"/>
    <mergeCell ref="B18:G18"/>
    <mergeCell ref="B23:G23"/>
    <mergeCell ref="H23:J23"/>
    <mergeCell ref="K23:L23"/>
    <mergeCell ref="M23:O23"/>
    <mergeCell ref="V19:V21"/>
    <mergeCell ref="B20:G20"/>
    <mergeCell ref="H20:J20"/>
    <mergeCell ref="K20:L20"/>
    <mergeCell ref="M20:O20"/>
    <mergeCell ref="B21:G21"/>
    <mergeCell ref="H21:J21"/>
    <mergeCell ref="K21:L21"/>
    <mergeCell ref="M21:O21"/>
    <mergeCell ref="B19:G19"/>
    <mergeCell ref="H19:J19"/>
    <mergeCell ref="K19:L19"/>
    <mergeCell ref="M19:O19"/>
    <mergeCell ref="M15:O15"/>
    <mergeCell ref="H18:J18"/>
    <mergeCell ref="K18:L18"/>
    <mergeCell ref="M18:O18"/>
    <mergeCell ref="B16:G16"/>
    <mergeCell ref="H16:J16"/>
    <mergeCell ref="K16:L16"/>
    <mergeCell ref="M16:O16"/>
    <mergeCell ref="B22:G22"/>
    <mergeCell ref="H22:J22"/>
    <mergeCell ref="K22:L22"/>
    <mergeCell ref="M22:O22"/>
    <mergeCell ref="C12:G12"/>
    <mergeCell ref="H12:L12"/>
    <mergeCell ref="M12:O14"/>
    <mergeCell ref="P12:P14"/>
    <mergeCell ref="C13:G13"/>
    <mergeCell ref="H13:J14"/>
    <mergeCell ref="K13:L14"/>
    <mergeCell ref="V7:V9"/>
    <mergeCell ref="A8:F10"/>
    <mergeCell ref="H8:J8"/>
    <mergeCell ref="L8:P8"/>
    <mergeCell ref="H9:J11"/>
    <mergeCell ref="K9:K11"/>
    <mergeCell ref="L9:P11"/>
    <mergeCell ref="V10:V12"/>
    <mergeCell ref="A11:B11"/>
    <mergeCell ref="A12:B12"/>
    <mergeCell ref="V13:V15"/>
    <mergeCell ref="A14:B14"/>
    <mergeCell ref="C14:D14"/>
    <mergeCell ref="E14:G14"/>
    <mergeCell ref="B15:G15"/>
    <mergeCell ref="H15:J15"/>
    <mergeCell ref="K15:L15"/>
    <mergeCell ref="A6:B6"/>
    <mergeCell ref="C6:F6"/>
    <mergeCell ref="H6:J6"/>
    <mergeCell ref="L6:P6"/>
    <mergeCell ref="H7:J7"/>
    <mergeCell ref="L7:P7"/>
    <mergeCell ref="A2:C3"/>
    <mergeCell ref="D2:L3"/>
    <mergeCell ref="M2:P3"/>
    <mergeCell ref="A4:C4"/>
    <mergeCell ref="D4:L4"/>
    <mergeCell ref="A5:B5"/>
    <mergeCell ref="D5:L5"/>
    <mergeCell ref="N5:P5"/>
  </mergeCells>
  <dataValidations count="4">
    <dataValidation type="list" allowBlank="1" showInputMessage="1" showErrorMessage="1" sqref="C14:D14 C94:D94 C54:D54 C134:D134" xr:uid="{E3501E25-8439-4130-949F-981721DC9AB4}">
      <formula1>$W$7:$W$161</formula1>
    </dataValidation>
    <dataValidation type="list" allowBlank="1" showInputMessage="1" showErrorMessage="1" sqref="L9:P11 L49:P51 L89:P91 L129:P131" xr:uid="{447ACF58-D343-41C9-B935-15BCE9A48182}">
      <formula1>Carrier</formula1>
    </dataValidation>
    <dataValidation type="list" allowBlank="1" showInputMessage="1" showErrorMessage="1" sqref="A8 A48 A88 A128" xr:uid="{C0BE6DAC-727E-40A7-AAF8-4B755F67096F}">
      <formula1>$T$7:$T$35</formula1>
    </dataValidation>
    <dataValidation type="list" allowBlank="1" showInputMessage="1" showErrorMessage="1" sqref="L8:P8 L48:P48 L88:P88 L128:P128" xr:uid="{B02C36C7-A6BF-40B5-8A57-00EECC69AB96}">
      <formula1>Mode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80</vt:i4>
      </vt:variant>
    </vt:vector>
  </HeadingPairs>
  <TitlesOfParts>
    <vt:vector size="90" baseType="lpstr">
      <vt:lpstr>VERTEX1</vt:lpstr>
      <vt:lpstr>SAPL</vt:lpstr>
      <vt:lpstr>SAPL1</vt:lpstr>
      <vt:lpstr>OCL</vt:lpstr>
      <vt:lpstr>New Challan Formet 7th (5)</vt:lpstr>
      <vt:lpstr>OCL1</vt:lpstr>
      <vt:lpstr>New Challan Formet 7th (7)</vt:lpstr>
      <vt:lpstr>VERTEX</vt:lpstr>
      <vt:lpstr>KDS</vt:lpstr>
      <vt:lpstr>New Challan Formet 7th (10)</vt:lpstr>
      <vt:lpstr>KDS!Buyer</vt:lpstr>
      <vt:lpstr>'New Challan Formet 7th (10)'!Buyer</vt:lpstr>
      <vt:lpstr>'New Challan Formet 7th (5)'!Buyer</vt:lpstr>
      <vt:lpstr>'New Challan Formet 7th (7)'!Buyer</vt:lpstr>
      <vt:lpstr>OCL!Buyer</vt:lpstr>
      <vt:lpstr>'OCL1'!Buyer</vt:lpstr>
      <vt:lpstr>SAPL!Buyer</vt:lpstr>
      <vt:lpstr>SAPL1!Buyer</vt:lpstr>
      <vt:lpstr>VERTEX!Buyer</vt:lpstr>
      <vt:lpstr>VERTEX1!Buyer</vt:lpstr>
      <vt:lpstr>KDS!Buyer2</vt:lpstr>
      <vt:lpstr>'New Challan Formet 7th (10)'!Buyer2</vt:lpstr>
      <vt:lpstr>'New Challan Formet 7th (5)'!Buyer2</vt:lpstr>
      <vt:lpstr>'New Challan Formet 7th (7)'!Buyer2</vt:lpstr>
      <vt:lpstr>OCL!Buyer2</vt:lpstr>
      <vt:lpstr>'OCL1'!Buyer2</vt:lpstr>
      <vt:lpstr>SAPL!Buyer2</vt:lpstr>
      <vt:lpstr>SAPL1!Buyer2</vt:lpstr>
      <vt:lpstr>VERTEX!Buyer2</vt:lpstr>
      <vt:lpstr>VERTEX1!Buyer2</vt:lpstr>
      <vt:lpstr>KDS!Buyer3</vt:lpstr>
      <vt:lpstr>'New Challan Formet 7th (10)'!Buyer3</vt:lpstr>
      <vt:lpstr>'New Challan Formet 7th (5)'!Buyer3</vt:lpstr>
      <vt:lpstr>'New Challan Formet 7th (7)'!Buyer3</vt:lpstr>
      <vt:lpstr>OCL!Buyer3</vt:lpstr>
      <vt:lpstr>'OCL1'!Buyer3</vt:lpstr>
      <vt:lpstr>SAPL!Buyer3</vt:lpstr>
      <vt:lpstr>SAPL1!Buyer3</vt:lpstr>
      <vt:lpstr>VERTEX!Buyer3</vt:lpstr>
      <vt:lpstr>VERTEX1!Buyer3</vt:lpstr>
      <vt:lpstr>KDS!Carrier</vt:lpstr>
      <vt:lpstr>'New Challan Formet 7th (10)'!Carrier</vt:lpstr>
      <vt:lpstr>'New Challan Formet 7th (5)'!Carrier</vt:lpstr>
      <vt:lpstr>'New Challan Formet 7th (7)'!Carrier</vt:lpstr>
      <vt:lpstr>OCL!Carrier</vt:lpstr>
      <vt:lpstr>'OCL1'!Carrier</vt:lpstr>
      <vt:lpstr>SAPL!Carrier</vt:lpstr>
      <vt:lpstr>SAPL1!Carrier</vt:lpstr>
      <vt:lpstr>VERTEX!Carrier</vt:lpstr>
      <vt:lpstr>VERTEX1!Carrier</vt:lpstr>
      <vt:lpstr>KDS!Esak</vt:lpstr>
      <vt:lpstr>'New Challan Formet 7th (10)'!Esak</vt:lpstr>
      <vt:lpstr>'New Challan Formet 7th (5)'!Esak</vt:lpstr>
      <vt:lpstr>'New Challan Formet 7th (7)'!Esak</vt:lpstr>
      <vt:lpstr>OCL!Esak</vt:lpstr>
      <vt:lpstr>'OCL1'!Esak</vt:lpstr>
      <vt:lpstr>SAPL!Esak</vt:lpstr>
      <vt:lpstr>SAPL1!Esak</vt:lpstr>
      <vt:lpstr>VERTEX!Esak</vt:lpstr>
      <vt:lpstr>VERTEX1!Esak</vt:lpstr>
      <vt:lpstr>KDS!Mode</vt:lpstr>
      <vt:lpstr>'New Challan Formet 7th (10)'!Mode</vt:lpstr>
      <vt:lpstr>'New Challan Formet 7th (5)'!Mode</vt:lpstr>
      <vt:lpstr>'New Challan Formet 7th (7)'!Mode</vt:lpstr>
      <vt:lpstr>OCL!Mode</vt:lpstr>
      <vt:lpstr>'OCL1'!Mode</vt:lpstr>
      <vt:lpstr>SAPL!Mode</vt:lpstr>
      <vt:lpstr>SAPL1!Mode</vt:lpstr>
      <vt:lpstr>VERTEX!Mode</vt:lpstr>
      <vt:lpstr>VERTEX1!Mode</vt:lpstr>
      <vt:lpstr>KDS!Print_Area</vt:lpstr>
      <vt:lpstr>'New Challan Formet 7th (10)'!Print_Area</vt:lpstr>
      <vt:lpstr>'New Challan Formet 7th (5)'!Print_Area</vt:lpstr>
      <vt:lpstr>'New Challan Formet 7th (7)'!Print_Area</vt:lpstr>
      <vt:lpstr>OCL!Print_Area</vt:lpstr>
      <vt:lpstr>'OCL1'!Print_Area</vt:lpstr>
      <vt:lpstr>SAPL!Print_Area</vt:lpstr>
      <vt:lpstr>SAPL1!Print_Area</vt:lpstr>
      <vt:lpstr>VERTEX!Print_Area</vt:lpstr>
      <vt:lpstr>VERTEX1!Print_Area</vt:lpstr>
      <vt:lpstr>KDS!To</vt:lpstr>
      <vt:lpstr>'New Challan Formet 7th (10)'!To</vt:lpstr>
      <vt:lpstr>'New Challan Formet 7th (5)'!To</vt:lpstr>
      <vt:lpstr>'New Challan Formet 7th (7)'!To</vt:lpstr>
      <vt:lpstr>OCL!To</vt:lpstr>
      <vt:lpstr>'OCL1'!To</vt:lpstr>
      <vt:lpstr>SAPL!To</vt:lpstr>
      <vt:lpstr>SAPL1!To</vt:lpstr>
      <vt:lpstr>VERTEX!To</vt:lpstr>
      <vt:lpstr>VERTEX1!To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Anikul</dc:creator>
  <cp:lastModifiedBy>User</cp:lastModifiedBy>
  <cp:lastPrinted>2025-01-30T21:03:27Z</cp:lastPrinted>
  <dcterms:created xsi:type="dcterms:W3CDTF">2015-06-05T18:17:20Z</dcterms:created>
  <dcterms:modified xsi:type="dcterms:W3CDTF">2025-02-01T08:09:06Z</dcterms:modified>
</cp:coreProperties>
</file>